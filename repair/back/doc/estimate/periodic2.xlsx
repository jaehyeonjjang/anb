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04D928B9-7423-6242-87FD-0429AB120213}" xr6:coauthVersionLast="47" xr6:coauthVersionMax="47" xr10:uidLastSave="{00000000-0000-0000-0000-000000000000}"/>
  <bookViews>
    <workbookView xWindow="14080" yWindow="2360" windowWidth="26880" windowHeight="17580" activeTab="3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 localSheetId="3">#REF!,#REF!</definedName>
    <definedName name="ABC">'[1]플랜트 설치'!$A$1:$A$65536,'[1]플랜트 설치'!$A$1:$IV$2</definedName>
    <definedName name="AS" localSheetId="3">#REF!,#REF!</definedName>
    <definedName name="AS">'[2]플랜트 설치'!$A$1:$A$65536,'[2]플랜트 설치'!$A$1:$IV$2</definedName>
    <definedName name="AUAcºn" localSheetId="3">#REF!</definedName>
    <definedName name="AUAcºn">[3]교통대책내역!#REF!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 localSheetId="3">#REF!,#REF!</definedName>
    <definedName name="ddq">'[4]플랜트 설치'!$A$1:$A$65536,'[4]플랜트 설치'!$A$1:$IV$2</definedName>
    <definedName name="Document_array" localSheetId="3">{"Book1","01-1월자금청구.xls"}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[5]견적서!#REF!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[6]!매크로19</definedName>
    <definedName name="JL" localSheetId="3">#REF!,#REF!</definedName>
    <definedName name="JL">'[7]플랜트 설치'!$A$1:$A$65536,'[7]플랜트 설치'!$A$1:$IV$2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계약서1!$B$1:$U$173</definedName>
    <definedName name="_xlnm.Print_Area" localSheetId="2">대가산출!$B$1:$I$36</definedName>
    <definedName name="_xlnm.Print_Area" localSheetId="1">'에이앤비 갑지'!$B$1:$O$49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 localSheetId="3">#REF!,#REF!</definedName>
    <definedName name="RCD">'[8]플랜트 설치'!$A$1:$A$65536,'[8]플랜트 설치'!$A$1:$IV$2</definedName>
    <definedName name="s" localSheetId="3">#REF!,#REF!</definedName>
    <definedName name="s">'[9]플랜트 설치'!$A$1:$A$65536,'[9]플랜트 설치'!$A$1:$IV$2</definedName>
    <definedName name="sd" localSheetId="3">#REF!,#REF!</definedName>
    <definedName name="sd">'[10]플랜트 설치'!$A$1:$A$65536,'[10]플랜트 설치'!$A$1:$IV$2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 localSheetId="3">{"Book1","01-1월자금청구.xls"}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[11]교통대책내역!#REF!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 localSheetId="3">#REF!,#REF!</definedName>
    <definedName name="계측기">'[10]플랜트 설치'!$A$1:$A$65536,'[10]플랜트 설치'!$A$1:$IV$2</definedName>
    <definedName name="고급">#REF!</definedName>
    <definedName name="고케">70455</definedName>
    <definedName name="공사명" localSheetId="3">#REF!</definedName>
    <definedName name="공사명">[12]총괄!#REF!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 localSheetId="3">#REF!</definedName>
    <definedName name="구구일일">[13]연습!$C$3:$J$321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>#REF!</definedName>
    <definedName name="내역" localSheetId="3">#REF!</definedName>
    <definedName name="내역">[14]교통대책내역!#REF!</definedName>
    <definedName name="내역111111111111111" localSheetId="3">#REF!</definedName>
    <definedName name="내역111111111111111">[11]교통대책내역!#REF!</definedName>
    <definedName name="내역15회" localSheetId="3">#REF!</definedName>
    <definedName name="내역15회">[11]교통대책내역!#REF!</definedName>
    <definedName name="내역서" localSheetId="3">#REF!</definedName>
    <definedName name="내역서">[15]견적서!#REF!</definedName>
    <definedName name="내역서01" localSheetId="3">#REF!</definedName>
    <definedName name="내역서01">[16]견적서!#REF!</definedName>
    <definedName name="내역서02" localSheetId="3">#REF!</definedName>
    <definedName name="내역서02">[17]COST!$A$5:$O$140</definedName>
    <definedName name="노임" localSheetId="3">#REF!</definedName>
    <definedName name="노임">#REF!</definedName>
    <definedName name="노임단가" localSheetId="3">#REF!</definedName>
    <definedName name="노임단가">[18]COST!$A$5:$O$140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[5]견적서!#REF!</definedName>
    <definedName name="대구방범확정" localSheetId="3">#REF!</definedName>
    <definedName name="대구방범확정">[5]견적서!#REF!</definedName>
    <definedName name="대외" localSheetId="3">#REF!</definedName>
    <definedName name="대외">[3]교통대책내역!#REF!</definedName>
    <definedName name="대외공문웅상" localSheetId="3">#REF!</definedName>
    <definedName name="대외공문웅상">#REF!</definedName>
    <definedName name="동락내역" localSheetId="3">#REF!</definedName>
    <definedName name="동락내역">[15]견적서!#REF!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[19]교통대책내역!#REF!</definedName>
    <definedName name="매크로19" localSheetId="3">#REF!</definedName>
    <definedName name="매크로19">[20]!매크로19</definedName>
    <definedName name="몰라" localSheetId="3">#REF!</definedName>
    <definedName name="몰라">[6]!매크로19</definedName>
    <definedName name="ㅂ">#REF!</definedName>
    <definedName name="ㅂ12" localSheetId="3">#REF!,#REF!</definedName>
    <definedName name="ㅂ12">'[21]플랜트 설치'!$A$1:$A$65536,'[21]플랜트 설치'!$A$1:$IV$2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'[22]내   역'!#REF!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 localSheetId="3">#REF!,#REF!</definedName>
    <definedName name="새수량">'[23]플랜트 설치'!$A$1:$A$65536,'[23]플랜트 설치'!$A$1:$IV$2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 localSheetId="3">{"Book1","01-1월자금청구.xls"}</definedName>
    <definedName name="안전통로조서">{"Book1","01-1월자금청구.xls"}</definedName>
    <definedName name="여벌" localSheetId="3">#REF!</definedName>
    <definedName name="여벌">#REF!</definedName>
    <definedName name="영구배수" localSheetId="3">#REF!,#REF!</definedName>
    <definedName name="영구배수">'[24]플랜트 설치'!$A$1:$A$65536,'[24]플랜트 설치'!$A$1:$IV$2</definedName>
    <definedName name="영구배수1" localSheetId="3">#REF!,#REF!</definedName>
    <definedName name="영구배수1">'[25]플랜트 설치'!$A$1:$A$65536,'[25]플랜트 설치'!$A$1:$IV$2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 localSheetId="3">#REF!</definedName>
    <definedName name="이름">[26]주소!$A$1:$B$65536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 localSheetId="3">#REF!,#REF!</definedName>
    <definedName name="자재">'[27]플랜트 설치'!$A$1:$A$65536,'[27]플랜트 설치'!$A$1:$IV$2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[28]교통대책내역!#REF!</definedName>
    <definedName name="자재집계" localSheetId="3">#REF!,#REF!</definedName>
    <definedName name="자재집계">'[27]플랜트 설치'!$A$1:$A$65536,'[27]플랜트 설치'!$A$1:$IV$2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 localSheetId="3">{"Book1","01-1월자금청구.xls"}</definedName>
    <definedName name="정립특수">{"Book1","01-1월자금청구.xls"}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'[29] 토목공사예가'!#REF!</definedName>
    <definedName name="주변부대" localSheetId="3">#REF!</definedName>
    <definedName name="주변부대">'[29] 토목공사예가'!#REF!</definedName>
    <definedName name="주부대공" localSheetId="3">#REF!</definedName>
    <definedName name="주부대공">'[29] 토목공사예가'!#REF!</definedName>
    <definedName name="주토공" localSheetId="3">#REF!</definedName>
    <definedName name="주토공">'[29] 토목공사예가'!#REF!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>#REF!</definedName>
    <definedName name="ㅊ2409" localSheetId="3">#REF!</definedName>
    <definedName name="ㅊ2409">[30]내역!#REF!</definedName>
    <definedName name="책정금액">#REF!</definedName>
    <definedName name="초급">#REF!</definedName>
    <definedName name="토공사" localSheetId="3">#REF!</definedName>
    <definedName name="토공사">#REF!</definedName>
    <definedName name="토공사2" localSheetId="3">#REF!,#REF!</definedName>
    <definedName name="토공사2">'[31]플랜트 설치'!$A$1:$A$65536,'[31]플랜트 설치'!$A$1:$IV$2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'[29] 토목공사예가'!#REF!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'[29] 토목공사예가'!#REF!</definedName>
    <definedName name="포항내역서" localSheetId="3">#REF!</definedName>
    <definedName name="포항내역서">[32]견적서!#REF!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1" i="20" l="1"/>
  <c r="R169" i="20" s="1"/>
  <c r="R171" i="20" s="1"/>
  <c r="R173" i="20" s="1"/>
  <c r="G31" i="20"/>
  <c r="I62" i="20"/>
  <c r="E56" i="20"/>
  <c r="E55" i="20"/>
  <c r="F70" i="20"/>
  <c r="F69" i="20"/>
  <c r="P164" i="20"/>
  <c r="R164" i="20" s="1"/>
  <c r="P163" i="20"/>
  <c r="R163" i="20" s="1"/>
  <c r="R162" i="20"/>
  <c r="I158" i="20"/>
  <c r="R158" i="20" s="1"/>
  <c r="R157" i="20"/>
  <c r="I157" i="20"/>
  <c r="I156" i="20"/>
  <c r="R156" i="20" s="1"/>
  <c r="I155" i="20"/>
  <c r="R155" i="20" s="1"/>
  <c r="R150" i="20" s="1"/>
  <c r="R154" i="20"/>
  <c r="R153" i="20"/>
  <c r="R152" i="20"/>
  <c r="R151" i="20"/>
  <c r="R159" i="20" l="1"/>
  <c r="R160" i="20" s="1"/>
  <c r="H21" i="19" l="1"/>
  <c r="H22" i="19"/>
  <c r="H2" i="19"/>
  <c r="B7" i="16"/>
  <c r="H16" i="19"/>
  <c r="H11" i="19"/>
  <c r="H15" i="19"/>
  <c r="H10" i="19"/>
  <c r="H14" i="19"/>
  <c r="H13" i="19"/>
  <c r="H9" i="19"/>
  <c r="H25" i="19"/>
  <c r="B20" i="16"/>
  <c r="G36" i="16"/>
  <c r="G33" i="16"/>
  <c r="G35" i="16"/>
  <c r="G34" i="16"/>
  <c r="B9" i="16"/>
  <c r="D5" i="19"/>
  <c r="H12" i="19"/>
  <c r="H23" i="19" l="1"/>
  <c r="H8" i="19"/>
  <c r="G44" i="16"/>
  <c r="H24" i="19" l="1"/>
  <c r="H17" i="19"/>
  <c r="H18" i="19" s="1"/>
  <c r="H19" i="19" l="1"/>
  <c r="H26" i="19" s="1"/>
  <c r="H27" i="19" s="1"/>
  <c r="H29" i="19" s="1"/>
  <c r="H31" i="19" l="1"/>
  <c r="D4" i="19"/>
</calcChain>
</file>

<file path=xl/sharedStrings.xml><?xml version="1.0" encoding="utf-8"?>
<sst xmlns="http://schemas.openxmlformats.org/spreadsheetml/2006/main" count="306" uniqueCount="247">
  <si>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</si>
  <si>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</si>
  <si>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</si>
  <si>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</si>
  <si>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</si>
  <si>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별도</t>
    <phoneticPr fontId="1" type="noConversion"/>
  </si>
  <si>
    <t>기술자등급</t>
    <phoneticPr fontId="1" type="noConversion"/>
  </si>
  <si>
    <t>구분</t>
    <phoneticPr fontId="73" type="noConversion"/>
  </si>
  <si>
    <t>에이앤비</t>
    <phoneticPr fontId="73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</si>
  <si>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</si>
  <si>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</si>
  <si>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</si>
  <si>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3" type="noConversion"/>
  </si>
  <si>
    <t>1.2 소재지</t>
    <phoneticPr fontId="73" type="noConversion"/>
  </si>
  <si>
    <t>1.3 견적일짜</t>
    <phoneticPr fontId="73" type="noConversion"/>
  </si>
  <si>
    <t>1.4 단지규모</t>
    <phoneticPr fontId="73" type="noConversion"/>
  </si>
  <si>
    <t>1.6 팩스</t>
    <phoneticPr fontId="73" type="noConversion"/>
  </si>
  <si>
    <t>2.1 견적 금액</t>
    <phoneticPr fontId="73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</si>
  <si>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</si>
  <si>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</si>
  <si>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</si>
  <si>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</si>
  <si>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</si>
  <si>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</si>
  <si>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</si>
  <si>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 xml:space="preserve">1.4 사용승인일 : </t>
    <phoneticPr fontId="1" type="noConversion"/>
  </si>
  <si>
    <t>견  적  금  액</t>
    <phoneticPr fontId="1" type="noConversion"/>
  </si>
  <si>
    <t>총  용  역  비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</si>
  <si>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</si>
  <si>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</si>
  <si>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</si>
  <si>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가) 시설물의 안전 및 유지관리에 관한 특별법 제11조에 의거한 건축물 정기안전점검</t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</si>
  <si>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</si>
  <si>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</si>
  <si>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</si>
  <si>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</si>
  <si>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</si>
  <si>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</si>
  <si>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</si>
  <si>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</si>
  <si>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</si>
  <si>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</si>
  <si>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</si>
  <si>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</si>
  <si>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</si>
  <si>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</si>
  <si>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</si>
  <si>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산  출  내  역  서</t>
    <phoneticPr fontId="1" type="noConversion"/>
  </si>
  <si>
    <t>TEL : 031)283-3328   FAX : 031)284-3328</t>
    <phoneticPr fontId="1" type="noConversion"/>
  </si>
  <si>
    <t>나) 정기안전점검 보고서 제출 및 시설물통합정보관리시스템 FMS결과 자료 입력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</si>
  <si>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</si>
  <si>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</si>
  <si>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</si>
  <si>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</si>
  <si>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</si>
  <si>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3" type="noConversion"/>
  </si>
  <si>
    <t>1.2 용역내용</t>
    <phoneticPr fontId="1" type="noConversion"/>
  </si>
  <si>
    <t>㈜ 에이앤비 대표이사 (인)</t>
    <phoneticPr fontId="1" type="noConversion"/>
  </si>
  <si>
    <t>절 삭 금 액</t>
    <phoneticPr fontId="1" type="noConversion"/>
  </si>
  <si>
    <t>공 급 가 액</t>
    <phoneticPr fontId="1" type="noConversion"/>
  </si>
  <si>
    <t xml:space="preserve"> 6. 합 계 금 액</t>
    <phoneticPr fontId="1" type="noConversion"/>
  </si>
  <si>
    <t>가)  용 역 금 액  :</t>
    <phoneticPr fontId="1" type="noConversion"/>
  </si>
  <si>
    <t>나)  지 불 조 건  : 정기안전점검보고서 납품(FMS 자료입력)후 10일내 지불조건</t>
    <phoneticPr fontId="1" type="noConversion"/>
  </si>
  <si>
    <t>구조형식,용도,경과년수</t>
    <phoneticPr fontId="1" type="noConversion"/>
  </si>
  <si>
    <t>직접인건비의 3%</t>
    <phoneticPr fontId="1" type="noConversion"/>
  </si>
  <si>
    <t>1.2 소  재  지  :</t>
    <phoneticPr fontId="1" type="noConversion"/>
  </si>
  <si>
    <t>1.3 단지  규모 :</t>
    <phoneticPr fontId="1" type="noConversion"/>
  </si>
  <si>
    <t>1.1 단   지  명 :</t>
    <phoneticPr fontId="1" type="noConversion"/>
  </si>
  <si>
    <t>인원은 변경될수 있음</t>
  </si>
  <si>
    <t>부가세 별도</t>
    <phoneticPr fontId="1" type="noConversion"/>
  </si>
  <si>
    <t>경기도 용인시 기흥구 마북로 159 한성프라자 207호(마북동 )</t>
    <phoneticPr fontId="1" type="noConversion"/>
  </si>
  <si>
    <t>직접인건비 * 5%</t>
    <phoneticPr fontId="1" type="noConversion"/>
  </si>
  <si>
    <t>상기 금액은 하반기 정기안전점검 용역대가임.</t>
  </si>
  <si>
    <t>2023년</t>
  </si>
  <si>
    <t>공동주택</t>
  </si>
  <si>
    <t>공동주택외 건축물</t>
  </si>
  <si>
    <t>정기안전점검 (하반기) 용역</t>
    <phoneticPr fontId="1" type="noConversion"/>
  </si>
  <si>
    <t>(2023년 하반기 정기안전점검 1회 금액)</t>
    <phoneticPr fontId="1" type="noConversion"/>
  </si>
  <si>
    <t>외업인건비의 8%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</si>
  <si>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</si>
  <si>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</si>
  <si>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</si>
  <si>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</si>
  <si>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</si>
  <si>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</si>
  <si>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</si>
  <si>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</si>
  <si>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</si>
  <si>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시설물 정기안전점검 견적서</t>
    <phoneticPr fontId="1" type="noConversion"/>
  </si>
  <si>
    <t>탄현지구미주8차</t>
  </si>
  <si>
    <t>(2023년 하반기)</t>
  </si>
  <si>
    <t>지하1층~지상13층(연면적 : 29,369.45m²)</t>
  </si>
  <si>
    <t>1991년 09월 05일</t>
  </si>
  <si>
    <t>전화 : 031-921-7058</t>
  </si>
  <si>
    <t/>
  </si>
  <si>
    <t>일금 이백육십만원정(₩2,600,000) - VAT 별도</t>
  </si>
  <si>
    <t>(직접인건비 * 제경비) * 5%</t>
  </si>
  <si>
    <t>사우</t>
  </si>
  <si>
    <t>정기안전점검 용역 계약서</t>
  </si>
  <si>
    <t>서희아리채</t>
  </si>
  <si>
    <t>2025년 상반기</t>
    <phoneticPr fontId="1" type="noConversion"/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</si>
  <si>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</si>
  <si>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</si>
  <si>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</si>
  <si>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시설물의 정기안전점검 표준계약서</t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</si>
  <si>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</si>
  <si>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</si>
  <si>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</si>
  <si>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</si>
  <si>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</si>
  <si>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</si>
  <si>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</si>
  <si>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</si>
  <si>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</si>
  <si>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</si>
  <si>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서희아리채 정기안전점검 용역</t>
  </si>
  <si>
    <t>계 약 금 액</t>
    <phoneticPr fontId="1" type="noConversion"/>
  </si>
  <si>
    <t>일금 칠십만원정(₩ 700,000) - VAT 별도</t>
  </si>
  <si>
    <t xml:space="preserve">일금 칠십만원정(₩ 700,000) </t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</si>
  <si>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</si>
  <si>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</si>
  <si>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</si>
  <si>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</si>
  <si>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</si>
  <si>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경기도 안양시 만안구 문예로52번길 19 (안양동)</t>
  </si>
  <si>
    <t>전화 : 031-465-6674 ,     팩스 : 031-465-6679</t>
  </si>
  <si>
    <t>보고서 납품</t>
    <phoneticPr fontId="1" type="noConversion"/>
  </si>
  <si>
    <t xml:space="preserve">시설물통합정보시스템(FMS)등록 후 정기안전점검 보고서 1부 </t>
    <phoneticPr fontId="1" type="noConversion"/>
  </si>
  <si>
    <t>기 타 사 항</t>
    <phoneticPr fontId="1" type="noConversion"/>
  </si>
  <si>
    <t>상기 금액은 2025년 상반기 정기안전점검 용역대가임.</t>
  </si>
  <si>
    <r>
      <rPr>
        <sz val="12"/>
        <color indexed="8"/>
        <rFont val="돋움"/>
        <family val="3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</si>
  <si>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</si>
  <si>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t>1. 시설물의 정기안전점검 표준계약조건 1부.</t>
    <phoneticPr fontId="1" type="noConversion"/>
  </si>
  <si>
    <r>
      <t xml:space="preserve">2. </t>
    </r>
    <r>
      <rPr>
        <sz val="12"/>
        <color indexed="8"/>
        <rFont val="돋움"/>
        <family val="3"/>
        <charset val="129"/>
      </rPr>
      <t>시설물의 정기안전점검 과업내용 1부.</t>
    </r>
  </si>
  <si>
    <r>
      <t xml:space="preserve">3. </t>
    </r>
    <r>
      <rPr>
        <sz val="12"/>
        <color indexed="8"/>
        <rFont val="돋움"/>
        <family val="3"/>
        <charset val="129"/>
      </rPr>
      <t>시설물의 정기안전점검 대가산출 내역서 1부.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</si>
  <si>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</si>
  <si>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t>2025년</t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</si>
  <si>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</si>
  <si>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</si>
  <si>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</si>
  <si>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</si>
  <si>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</si>
  <si>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 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</si>
  <si>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</si>
  <si>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</si>
  <si>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 xml:space="preserve">관리소장 </t>
    </r>
    <r>
      <rPr>
        <sz val="12"/>
        <color indexed="8"/>
        <rFont val="돋움"/>
        <family val="3"/>
        <charset val="129"/>
      </rPr>
      <t xml:space="preserve"> : </t>
    </r>
  </si>
  <si>
    <r>
      <rPr>
        <sz val="12"/>
        <color indexed="8"/>
        <rFont val="돋움"/>
        <family val="3"/>
        <charset val="129"/>
      </rPr>
      <t xml:space="preserve">                                          (인)</t>
    </r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</si>
  <si>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</si>
  <si>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</si>
  <si>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</si>
  <si>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>시설물의 정기안전점검 표준계약조건</t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</si>
  <si>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</si>
  <si>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</si>
  <si>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t xml:space="preserve">(이하"발주자"라 한다)와 </t>
    <phoneticPr fontId="1" type="noConversion"/>
  </si>
  <si>
    <r>
      <t xml:space="preserve">정기안전점검의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</si>
  <si>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</si>
  <si>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r>
      <t xml:space="preserve">이 계약은 </t>
    </r>
    <r>
      <rPr>
        <sz val="12"/>
        <color indexed="8"/>
        <rFont val="돋움"/>
        <family val="3"/>
        <charset val="129"/>
      </rPr>
      <t>"발주자"가 관리하고 있는 시설물에 대하여 "수주자"는 정기안전점검을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</si>
  <si>
    <r>
      <t>제</t>
    </r>
    <r>
      <rPr>
        <b/>
        <sz val="12"/>
        <color indexed="8"/>
        <rFont val="돋움"/>
        <family val="3"/>
        <charset val="129"/>
      </rPr>
      <t>2조(점검의 범위) 정기안전점검의 범위는 다음과 같다.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</si>
  <si>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</si>
  <si>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</si>
  <si>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</si>
  <si>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t xml:space="preserve">④ 정기안전점검 대상시설물의 범위 : </t>
    <phoneticPr fontId="1" type="noConversion"/>
  </si>
  <si>
    <t>지하4층~지상19층 (연면적 : 25,762 m²)</t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</si>
  <si>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</si>
  <si>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>① 계약기간은 착수 일로부터   일간으로 한다</t>
    </r>
    <r>
      <rPr>
        <sz val="12"/>
        <color indexed="8"/>
        <rFont val="돋움"/>
        <family val="3"/>
        <charset val="129"/>
      </rPr>
      <t>.</t>
    </r>
  </si>
  <si>
    <r>
      <t>② 다만</t>
    </r>
    <r>
      <rPr>
        <sz val="12"/>
        <color indexed="8"/>
        <rFont val="돋움"/>
        <family val="3"/>
        <charset val="129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</si>
  <si>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</si>
  <si>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기본과업은 &lt;붙임 2&gt;와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</si>
  <si>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</si>
  <si>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t>③ 제3조 제2항에 따라 정기안전점검 업무의 일부 또는 전부의 변경이 불가피한 경우 "발주자"와 "수주자"는 협의하여 변경할 수 있다.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</si>
  <si>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</si>
  <si>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정기안전점검 대가 지급은 기획재정부가 회계예규로 정한 기술․용역 계약 일반조건 지급 요령에 의한다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</si>
  <si>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</si>
  <si>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</si>
  <si>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</si>
  <si>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</si>
  <si>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</si>
  <si>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</si>
  <si>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시설물안전법 제17조 제1항에 따라  "발주자"에게 정기안전점검 실시결과를 통보하여야 한다.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</si>
  <si>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</si>
  <si>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t>③ "수주자"는 정기안전점검 후 실시 결과를 시설물통합정보시스템(FMS)에 등록 및 보고하여야 한다.</t>
    <phoneticPr fontId="1" type="noConversion"/>
  </si>
  <si>
    <r>
      <t>제8</t>
    </r>
    <r>
      <rPr>
        <b/>
        <sz val="12"/>
        <color indexed="8"/>
        <rFont val="돋움"/>
        <family val="3"/>
        <charset val="129"/>
      </rPr>
      <t>조(설계도서 등의 열람교부 등)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</si>
  <si>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</si>
  <si>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</si>
  <si>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제9</t>
    </r>
    <r>
      <rPr>
        <b/>
        <sz val="12"/>
        <color indexed="8"/>
        <rFont val="돋움"/>
        <family val="3"/>
        <charset val="129"/>
      </rPr>
      <t>조(관리주체의 의무)</t>
    </r>
  </si>
  <si>
    <r>
      <t xml:space="preserve">① </t>
    </r>
    <r>
      <rPr>
        <sz val="12"/>
        <color indexed="8"/>
        <rFont val="돋움"/>
        <family val="3"/>
        <charset val="129"/>
      </rPr>
      <t>"발주자"는 "수주자"가 정기안전점검을 공정하게 실시할 수 있도록 제반여건을 조성하여야 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</si>
  <si>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시설물의 상태평가・안전성평가 등에 있어서 정기안전점검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</si>
  <si>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"발주자"는 정기안전점검을 실시함에 있어서 시설물의 근접조사 및 상세조사가 가능하도록 "수주자"에게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</si>
  <si>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</si>
  <si>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"</t>
    </r>
    <r>
      <rPr>
        <sz val="12"/>
        <color indexed="8"/>
        <rFont val="돋움"/>
        <family val="3"/>
        <charset val="129"/>
      </rPr>
      <t>수주자"가 정기안전점검 업무와 관련하여 인・허가 등의 사항이 필요한 경우에는 "발주자"는 정기안전점검 업무수행에 지장이 없도록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</si>
  <si>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</si>
  <si>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</si>
  <si>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 xml:space="preserve">1. </t>
    </r>
    <r>
      <rPr>
        <sz val="12"/>
        <color indexed="8"/>
        <rFont val="돋움"/>
        <family val="3"/>
        <charset val="129"/>
      </rPr>
      <t>천재지변, 전쟁, 기타 불가항력의 사유로 인하여 정기안전점검 업무의 수행이 불가능한 때</t>
    </r>
  </si>
  <si>
    <r>
      <t>2. "</t>
    </r>
    <r>
      <rPr>
        <sz val="12"/>
        <color indexed="8"/>
        <rFont val="돋움"/>
        <family val="3"/>
        <charset val="129"/>
      </rPr>
      <t>발주자" 와"수주자"가 정기안전점검 업무가 필요치 않다고 협의되었을 때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</si>
  <si>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</si>
  <si>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</si>
  <si>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</si>
  <si>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"</t>
    </r>
    <r>
      <rPr>
        <sz val="12"/>
        <color indexed="8"/>
        <rFont val="돋움"/>
        <family val="3"/>
        <charset val="129"/>
      </rPr>
      <t>수주자"는 정기안전점검 수행시 얻은 정보 또는 성과품 및 자료를 계약이행의 전・후를 막론하고 "발주자"의 사전승인 없이 외부에 누설할 수 없다.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</si>
  <si>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</si>
  <si>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</si>
  <si>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</si>
  <si>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시설물의 정기안전점검 과업내용</t>
    <phoneticPr fontId="1" type="noConversion"/>
  </si>
  <si>
    <t>과업항목</t>
  </si>
  <si>
    <t>지침상 기본과업</t>
  </si>
  <si>
    <t>금회 과업 내용</t>
  </si>
  <si>
    <t>자료수집 및 분석</t>
    <phoneticPr fontId="1" type="noConversion"/>
  </si>
  <si>
    <t>∙준공도면</t>
  </si>
  <si>
    <t>◦좌동</t>
  </si>
  <si>
    <t>∙시설물관리대장</t>
  </si>
  <si>
    <r>
      <t>∙기존 안전점검</t>
    </r>
    <r>
      <rPr>
        <sz val="9"/>
        <color indexed="8"/>
        <rFont val="돋움"/>
        <family val="3"/>
        <charset val="129"/>
      </rPr>
      <t>·정밀안전진단 실시결과</t>
    </r>
  </si>
  <si>
    <t>∙보수․보강이력 검토․분석</t>
  </si>
  <si>
    <t>현장조사</t>
  </si>
  <si>
    <r>
      <t>∘주요시설</t>
    </r>
    <r>
      <rPr>
        <sz val="9"/>
        <color indexed="8"/>
        <rFont val="돋움"/>
        <family val="3"/>
        <charset val="129"/>
      </rPr>
      <t>, 일반시설, 부대시설 각각의 평가항목에 대한 외관조사</t>
    </r>
  </si>
  <si>
    <t>- 콘크리트 구조물 : 균열, 누수, 박리, 박락, 층분리, 백태, 철근노출 등</t>
    <phoneticPr fontId="1" type="noConversion"/>
  </si>
  <si>
    <r>
      <t xml:space="preserve">- </t>
    </r>
    <r>
      <rPr>
        <sz val="9"/>
        <color indexed="8"/>
        <rFont val="돋움"/>
        <family val="3"/>
        <charset val="129"/>
      </rPr>
      <t>강재 구조물 : 균열, 도장상태, 부식상태 등</t>
    </r>
  </si>
  <si>
    <t>상태평가</t>
  </si>
  <si>
    <t>∘외관조사 결과 분석</t>
  </si>
  <si>
    <r>
      <t>∘대상 시설물</t>
    </r>
    <r>
      <rPr>
        <sz val="9"/>
        <color indexed="8"/>
        <rFont val="돋움"/>
        <family val="3"/>
        <charset val="129"/>
      </rPr>
      <t>(부재)의 현재와 이전의 상태 비교검토</t>
    </r>
  </si>
  <si>
    <t>안전성평가</t>
  </si>
  <si>
    <t>-</t>
  </si>
  <si>
    <r>
      <t>보수</t>
    </r>
    <r>
      <rPr>
        <sz val="11"/>
        <color indexed="8"/>
        <rFont val="돋움"/>
        <family val="3"/>
        <charset val="129"/>
      </rPr>
      <t>·</t>
    </r>
    <r>
      <rPr>
        <sz val="9"/>
        <color indexed="8"/>
        <rFont val="돋움"/>
        <family val="3"/>
        <charset val="129"/>
      </rPr>
      <t>보강 방법</t>
    </r>
  </si>
  <si>
    <t>보고서작성</t>
  </si>
  <si>
    <t>∙보고서 작성</t>
  </si>
  <si>
    <r>
      <t>&lt;</t>
    </r>
    <r>
      <rPr>
        <sz val="13"/>
        <color indexed="8"/>
        <rFont val="돋움"/>
        <family val="3"/>
        <charset val="129"/>
      </rPr>
      <t>붙임 3&gt;</t>
    </r>
  </si>
  <si>
    <t>시설물의 정기안전점검 대가산출 내역서</t>
    <phoneticPr fontId="1" type="noConversion"/>
  </si>
  <si>
    <t>단위</t>
    <phoneticPr fontId="1" type="noConversion"/>
  </si>
  <si>
    <t>인원</t>
    <phoneticPr fontId="1" type="noConversion"/>
  </si>
  <si>
    <t>특급기술자</t>
  </si>
  <si>
    <t>인</t>
    <phoneticPr fontId="1" type="noConversion"/>
  </si>
  <si>
    <t>×</t>
    <phoneticPr fontId="1" type="noConversion"/>
  </si>
  <si>
    <t>고급기술자</t>
  </si>
  <si>
    <t>중급기술자</t>
  </si>
  <si>
    <t>인</t>
  </si>
  <si>
    <t>초급기술자</t>
  </si>
  <si>
    <t>직접인건비의</t>
    <phoneticPr fontId="1" type="noConversion"/>
  </si>
  <si>
    <t>(직접인건비+제경비)</t>
    <phoneticPr fontId="1" type="noConversion"/>
  </si>
  <si>
    <t>외업인건비의 10%</t>
  </si>
  <si>
    <t>직접인건비의 5%</t>
  </si>
  <si>
    <t>5. 조   정   비</t>
    <phoneticPr fontId="1" type="noConversion"/>
  </si>
  <si>
    <t>구조형식,용도,경과년수</t>
  </si>
  <si>
    <t>6. 합 계 금 액</t>
    <phoneticPr fontId="1" type="noConversion"/>
  </si>
  <si>
    <t>절 삭 금 액</t>
  </si>
  <si>
    <t>공 급 가 액</t>
  </si>
  <si>
    <t>부가가치세</t>
  </si>
  <si>
    <t>별도</t>
  </si>
  <si>
    <t>인  원</t>
  </si>
  <si>
    <t>과업 수행 기간 : 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</si>
</sst>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4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1"/>
      <name val="Century Gothic"/>
      <family val="2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1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b/>
      <sz val="12"/>
      <name val="돋움"/>
      <family val="3"/>
      <charset val="129"/>
    </font>
    <font>
      <sz val="11.5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b/>
      <sz val="33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36"/>
      <color indexed="8"/>
      <name val="돋움"/>
      <family val="3"/>
      <charset val="129"/>
    </font>
    <font>
      <b/>
      <sz val="36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color indexed="8"/>
      <name val="돋움"/>
      <family val="3"/>
      <charset val="129"/>
    </font>
    <font>
      <sz val="11.5"/>
      <color rgb="FF000000"/>
      <name val="돋움"/>
      <family val="3"/>
      <charset val="129"/>
    </font>
    <font>
      <sz val="13"/>
      <color rgb="FF000000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14"/>
      <name val="돋움"/>
      <family val="3"/>
      <charset val="129"/>
    </font>
    <font>
      <sz val="15"/>
      <name val="한컴 솔잎 B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114">
    <xf numFmtId="0" fontId="0" fillId="0" borderId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/>
    <xf numFmtId="0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9" fillId="0" borderId="0" applyFont="0" applyFill="0" applyBorder="0" applyAlignment="0" applyProtection="0"/>
    <xf numFmtId="0" fontId="14" fillId="0" borderId="0"/>
    <xf numFmtId="0" fontId="9" fillId="0" borderId="0" applyFont="0" applyFill="0" applyBorder="0" applyAlignment="0" applyProtection="0"/>
    <xf numFmtId="0" fontId="14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7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 applyNumberFormat="0" applyFill="0" applyBorder="0" applyAlignment="0" applyProtection="0"/>
    <xf numFmtId="171" fontId="9" fillId="0" borderId="0" applyFill="0" applyBorder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1">
      <alignment horizontal="center"/>
    </xf>
    <xf numFmtId="168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3" fontId="11" fillId="0" borderId="2"/>
    <xf numFmtId="172" fontId="6" fillId="0" borderId="0" applyFont="0" applyFill="0" applyBorder="0" applyProtection="0">
      <alignment vertical="center"/>
    </xf>
    <xf numFmtId="173" fontId="6" fillId="0" borderId="0">
      <alignment vertical="center"/>
    </xf>
    <xf numFmtId="174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7" fillId="0" borderId="0"/>
    <xf numFmtId="177" fontId="18" fillId="0" borderId="2">
      <alignment vertical="center"/>
    </xf>
    <xf numFmtId="3" fontId="11" fillId="0" borderId="2"/>
    <xf numFmtId="3" fontId="11" fillId="0" borderId="2"/>
    <xf numFmtId="178" fontId="9" fillId="0" borderId="0">
      <alignment vertical="center"/>
    </xf>
    <xf numFmtId="179" fontId="5" fillId="0" borderId="0">
      <alignment vertical="center"/>
    </xf>
    <xf numFmtId="3" fontId="19" fillId="0" borderId="3">
      <alignment horizontal="right" vertical="center"/>
    </xf>
    <xf numFmtId="179" fontId="5" fillId="0" borderId="0">
      <alignment vertical="center"/>
    </xf>
    <xf numFmtId="3" fontId="19" fillId="0" borderId="3">
      <alignment horizontal="right" vertical="center"/>
    </xf>
    <xf numFmtId="179" fontId="5" fillId="0" borderId="0">
      <alignment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79" fontId="5" fillId="0" borderId="0">
      <alignment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2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2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67" fontId="21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67" fontId="21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79" fontId="5" fillId="0" borderId="0">
      <alignment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179" fontId="5" fillId="0" borderId="0">
      <alignment vertical="center"/>
    </xf>
    <xf numFmtId="179" fontId="5" fillId="0" borderId="0">
      <alignment vertical="center"/>
    </xf>
    <xf numFmtId="179" fontId="5" fillId="0" borderId="0">
      <alignment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184" fontId="22" fillId="0" borderId="0">
      <alignment vertical="center"/>
    </xf>
    <xf numFmtId="0" fontId="6" fillId="0" borderId="0"/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0" fontId="9" fillId="0" borderId="4">
      <alignment horizontal="center"/>
    </xf>
    <xf numFmtId="0" fontId="112" fillId="9" borderId="0" applyNumberFormat="0" applyBorder="0" applyAlignment="0" applyProtection="0">
      <alignment vertical="center"/>
    </xf>
    <xf numFmtId="184" fontId="22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0" fillId="0" borderId="0"/>
    <xf numFmtId="0" fontId="27" fillId="0" borderId="0">
      <alignment horizontal="center" wrapText="1"/>
      <protection locked="0"/>
    </xf>
    <xf numFmtId="0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9" fillId="0" borderId="0"/>
    <xf numFmtId="37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49" fontId="25" fillId="0" borderId="0" applyBorder="0"/>
    <xf numFmtId="0" fontId="26" fillId="0" borderId="0"/>
    <xf numFmtId="188" fontId="18" fillId="0" borderId="0" applyFill="0" applyBorder="0" applyAlignment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189" fontId="6" fillId="0" borderId="0"/>
    <xf numFmtId="190" fontId="9" fillId="0" borderId="0">
      <protection locked="0"/>
    </xf>
    <xf numFmtId="0" fontId="32" fillId="0" borderId="0" applyNumberFormat="0" applyAlignment="0">
      <alignment horizontal="left"/>
    </xf>
    <xf numFmtId="0" fontId="33" fillId="0" borderId="0" applyNumberFormat="0" applyAlignment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4" fontId="6" fillId="0" borderId="2" applyFill="0" applyBorder="0" applyAlignment="0"/>
    <xf numFmtId="191" fontId="9" fillId="0" borderId="0">
      <protection locked="0"/>
    </xf>
    <xf numFmtId="0" fontId="15" fillId="0" borderId="0"/>
    <xf numFmtId="0" fontId="34" fillId="0" borderId="0">
      <protection locked="0"/>
    </xf>
    <xf numFmtId="192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/>
    <xf numFmtId="195" fontId="35" fillId="0" borderId="2">
      <alignment vertical="center"/>
    </xf>
    <xf numFmtId="0" fontId="36" fillId="0" borderId="0" applyNumberFormat="0" applyAlignment="0">
      <alignment horizontal="left"/>
    </xf>
    <xf numFmtId="175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7" fillId="0" borderId="0">
      <protection locked="0"/>
    </xf>
    <xf numFmtId="196" fontId="9" fillId="0" borderId="0">
      <protection locked="0"/>
    </xf>
    <xf numFmtId="38" fontId="38" fillId="2" borderId="0" applyNumberFormat="0" applyBorder="0" applyAlignment="0" applyProtection="0"/>
    <xf numFmtId="3" fontId="35" fillId="0" borderId="5">
      <alignment horizontal="right" vertical="center"/>
    </xf>
    <xf numFmtId="4" fontId="35" fillId="0" borderId="5">
      <alignment horizontal="right" vertical="center"/>
    </xf>
    <xf numFmtId="0" fontId="39" fillId="0" borderId="0">
      <alignment horizontal="left"/>
    </xf>
    <xf numFmtId="0" fontId="40" fillId="0" borderId="6" applyNumberFormat="0" applyAlignment="0" applyProtection="0">
      <alignment horizontal="left" vertical="center"/>
    </xf>
    <xf numFmtId="0" fontId="40" fillId="0" borderId="7">
      <alignment horizontal="left" vertical="center"/>
    </xf>
    <xf numFmtId="0" fontId="41" fillId="0" borderId="0">
      <protection locked="0"/>
    </xf>
    <xf numFmtId="0" fontId="41" fillId="0" borderId="0">
      <protection locked="0"/>
    </xf>
    <xf numFmtId="197" fontId="14" fillId="0" borderId="0">
      <protection locked="0"/>
    </xf>
    <xf numFmtId="197" fontId="14" fillId="0" borderId="0">
      <protection locked="0"/>
    </xf>
    <xf numFmtId="10" fontId="38" fillId="3" borderId="2" applyNumberFormat="0" applyBorder="0" applyAlignment="0" applyProtection="0"/>
    <xf numFmtId="198" fontId="42" fillId="4" borderId="0"/>
    <xf numFmtId="199" fontId="35" fillId="0" borderId="2">
      <alignment vertical="center"/>
    </xf>
    <xf numFmtId="198" fontId="43" fillId="5" borderId="0"/>
    <xf numFmtId="200" fontId="35" fillId="0" borderId="2">
      <alignment horizontal="right" vertical="center"/>
    </xf>
    <xf numFmtId="201" fontId="35" fillId="0" borderId="2">
      <alignment vertical="center"/>
    </xf>
    <xf numFmtId="202" fontId="35" fillId="0" borderId="2">
      <alignment vertical="center"/>
    </xf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4" fillId="0" borderId="8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5" fillId="0" borderId="0" applyFont="0" applyFill="0" applyBorder="0" applyAlignment="0" applyProtection="0"/>
    <xf numFmtId="37" fontId="46" fillId="0" borderId="0"/>
    <xf numFmtId="203" fontId="18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187" fontId="22" fillId="0" borderId="0">
      <alignment vertical="center"/>
    </xf>
    <xf numFmtId="14" fontId="27" fillId="0" borderId="0">
      <alignment horizontal="center" wrapText="1"/>
      <protection locked="0"/>
    </xf>
    <xf numFmtId="10" fontId="14" fillId="0" borderId="0" applyFont="0" applyFill="0" applyBorder="0" applyAlignment="0" applyProtection="0"/>
    <xf numFmtId="204" fontId="47" fillId="0" borderId="0"/>
    <xf numFmtId="0" fontId="10" fillId="0" borderId="0" applyNumberFormat="0" applyFont="0" applyFill="0" applyBorder="0" applyAlignment="0" applyProtection="0">
      <alignment horizontal="left"/>
    </xf>
    <xf numFmtId="14" fontId="48" fillId="0" borderId="0" applyNumberFormat="0" applyFill="0" applyBorder="0" applyAlignment="0" applyProtection="0">
      <alignment horizontal="left"/>
    </xf>
    <xf numFmtId="0" fontId="9" fillId="0" borderId="0"/>
    <xf numFmtId="205" fontId="22" fillId="0" borderId="0">
      <alignment vertical="center"/>
    </xf>
    <xf numFmtId="205" fontId="22" fillId="0" borderId="0">
      <alignment vertical="distributed"/>
    </xf>
    <xf numFmtId="0" fontId="10" fillId="0" borderId="0"/>
    <xf numFmtId="0" fontId="49" fillId="0" borderId="0">
      <alignment horizontal="center" vertical="center"/>
    </xf>
    <xf numFmtId="0" fontId="44" fillId="0" borderId="0"/>
    <xf numFmtId="40" fontId="50" fillId="0" borderId="0" applyBorder="0">
      <alignment horizontal="right"/>
    </xf>
    <xf numFmtId="49" fontId="51" fillId="0" borderId="0" applyFill="0" applyBorder="0" applyProtection="0">
      <alignment horizontal="centerContinuous" vertical="center"/>
    </xf>
    <xf numFmtId="0" fontId="52" fillId="0" borderId="0" applyFill="0" applyBorder="0" applyProtection="0">
      <alignment horizontal="centerContinuous" vertical="center"/>
    </xf>
    <xf numFmtId="0" fontId="12" fillId="6" borderId="0" applyFill="0" applyBorder="0" applyProtection="0">
      <alignment horizontal="center" vertical="center"/>
    </xf>
    <xf numFmtId="0" fontId="34" fillId="0" borderId="9">
      <protection locked="0"/>
    </xf>
    <xf numFmtId="0" fontId="53" fillId="0" borderId="4">
      <alignment horizontal="left"/>
    </xf>
    <xf numFmtId="0" fontId="10" fillId="0" borderId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9" fontId="35" fillId="0" borderId="2">
      <alignment horizontal="center" vertical="center"/>
    </xf>
    <xf numFmtId="208" fontId="9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55" fillId="0" borderId="0"/>
    <xf numFmtId="0" fontId="22" fillId="0" borderId="0">
      <alignment vertical="center"/>
    </xf>
    <xf numFmtId="37" fontId="11" fillId="0" borderId="10">
      <alignment horizontal="center" vertical="center"/>
    </xf>
    <xf numFmtId="37" fontId="11" fillId="0" borderId="3" applyAlignment="0"/>
    <xf numFmtId="0" fontId="6" fillId="0" borderId="0"/>
    <xf numFmtId="209" fontId="7" fillId="0" borderId="11" applyFont="0" applyFill="0" applyBorder="0" applyAlignment="0">
      <alignment horizontal="left" vertical="center"/>
    </xf>
    <xf numFmtId="0" fontId="34" fillId="0" borderId="0">
      <protection locked="0"/>
    </xf>
    <xf numFmtId="3" fontId="10" fillId="0" borderId="12">
      <alignment horizontal="center"/>
    </xf>
    <xf numFmtId="0" fontId="56" fillId="0" borderId="13">
      <alignment vertical="center"/>
    </xf>
    <xf numFmtId="0" fontId="34" fillId="0" borderId="0">
      <protection locked="0"/>
    </xf>
    <xf numFmtId="0" fontId="57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7" fillId="0" borderId="5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2" fillId="0" borderId="0" applyNumberFormat="0" applyFont="0" applyFill="0" applyBorder="0" applyProtection="0">
      <alignment horizontal="distributed" vertical="center" justifyLastLine="1"/>
    </xf>
    <xf numFmtId="10" fontId="58" fillId="0" borderId="0">
      <alignment vertical="center"/>
    </xf>
    <xf numFmtId="10" fontId="58" fillId="0" borderId="0">
      <alignment vertical="center"/>
    </xf>
    <xf numFmtId="210" fontId="59" fillId="0" borderId="0">
      <protection locked="0"/>
    </xf>
    <xf numFmtId="211" fontId="9" fillId="0" borderId="0" applyFont="0" applyFill="0" applyBorder="0" applyProtection="0">
      <alignment horizontal="center" vertical="center"/>
    </xf>
    <xf numFmtId="212" fontId="9" fillId="0" borderId="0" applyFont="0" applyFill="0" applyBorder="0" applyProtection="0">
      <alignment horizontal="center" vertical="center"/>
    </xf>
    <xf numFmtId="9" fontId="20" fillId="6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213" fontId="6" fillId="0" borderId="0" applyFont="0" applyFill="0" applyBorder="0" applyAlignment="0" applyProtection="0"/>
    <xf numFmtId="214" fontId="22" fillId="0" borderId="0" applyFont="0" applyFill="0" applyBorder="0" applyAlignment="0" applyProtection="0"/>
    <xf numFmtId="0" fontId="60" fillId="0" borderId="0" applyFont="0" applyFill="0" applyBorder="0" applyProtection="0">
      <alignment horizontal="center" vertical="center"/>
    </xf>
    <xf numFmtId="0" fontId="60" fillId="0" borderId="0" applyFont="0" applyFill="0" applyBorder="0" applyProtection="0">
      <alignment horizontal="center" vertical="center"/>
    </xf>
    <xf numFmtId="215" fontId="61" fillId="0" borderId="14" applyFont="0" applyFill="0" applyAlignment="0" applyProtection="0">
      <alignment horizontal="center" vertical="center"/>
    </xf>
    <xf numFmtId="0" fontId="62" fillId="0" borderId="0"/>
    <xf numFmtId="177" fontId="63" fillId="0" borderId="11">
      <alignment vertical="center"/>
    </xf>
    <xf numFmtId="0" fontId="22" fillId="0" borderId="0" applyNumberFormat="0" applyFont="0" applyFill="0" applyBorder="0" applyProtection="0">
      <alignment horizontal="centerContinuous" vertical="center"/>
    </xf>
    <xf numFmtId="166" fontId="64" fillId="0" borderId="15">
      <alignment vertical="center"/>
    </xf>
    <xf numFmtId="216" fontId="58" fillId="0" borderId="0">
      <alignment vertical="center"/>
    </xf>
    <xf numFmtId="177" fontId="65" fillId="0" borderId="11">
      <alignment vertical="center"/>
    </xf>
    <xf numFmtId="217" fontId="66" fillId="0" borderId="0">
      <alignment vertical="center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0" fontId="10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7" fillId="0" borderId="16"/>
    <xf numFmtId="218" fontId="35" fillId="0" borderId="2" applyBorder="0">
      <alignment vertical="center"/>
    </xf>
    <xf numFmtId="0" fontId="68" fillId="0" borderId="0" applyFont="0" applyFill="0" applyBorder="0" applyAlignment="0" applyProtection="0"/>
    <xf numFmtId="0" fontId="69" fillId="0" borderId="0">
      <alignment vertical="center"/>
    </xf>
    <xf numFmtId="0" fontId="70" fillId="0" borderId="0">
      <alignment horizontal="center" vertical="center"/>
    </xf>
    <xf numFmtId="4" fontId="34" fillId="0" borderId="0">
      <protection locked="0"/>
    </xf>
    <xf numFmtId="0" fontId="55" fillId="0" borderId="0"/>
    <xf numFmtId="4" fontId="34" fillId="0" borderId="0">
      <protection locked="0"/>
    </xf>
    <xf numFmtId="219" fontId="9" fillId="0" borderId="0">
      <protection locked="0"/>
    </xf>
    <xf numFmtId="0" fontId="55" fillId="4" borderId="0"/>
    <xf numFmtId="0" fontId="71" fillId="0" borderId="0">
      <alignment horizontal="centerContinuous" vertical="center"/>
    </xf>
    <xf numFmtId="0" fontId="9" fillId="0" borderId="0">
      <alignment vertical="center"/>
    </xf>
    <xf numFmtId="0" fontId="9" fillId="0" borderId="2">
      <alignment horizontal="distributed" vertical="center"/>
    </xf>
    <xf numFmtId="0" fontId="9" fillId="0" borderId="17">
      <alignment horizontal="distributed" vertical="top"/>
    </xf>
    <xf numFmtId="0" fontId="9" fillId="0" borderId="18">
      <alignment horizontal="distributed"/>
    </xf>
    <xf numFmtId="0" fontId="9" fillId="0" borderId="0"/>
    <xf numFmtId="0" fontId="72" fillId="0" borderId="0"/>
    <xf numFmtId="0" fontId="113" fillId="10" borderId="0" applyNumberFormat="0" applyBorder="0" applyAlignment="0" applyProtection="0">
      <alignment vertical="center"/>
    </xf>
    <xf numFmtId="0" fontId="9" fillId="0" borderId="0"/>
    <xf numFmtId="210" fontId="59" fillId="0" borderId="0">
      <protection locked="0"/>
    </xf>
    <xf numFmtId="210" fontId="59" fillId="0" borderId="0">
      <protection locked="0"/>
    </xf>
    <xf numFmtId="38" fontId="22" fillId="0" borderId="0" applyFont="0" applyFill="0" applyBorder="0" applyProtection="0">
      <alignment vertical="center"/>
    </xf>
    <xf numFmtId="220" fontId="9" fillId="0" borderId="0" applyFont="0" applyFill="0" applyBorder="0" applyProtection="0">
      <alignment vertical="center"/>
    </xf>
    <xf numFmtId="221" fontId="6" fillId="0" borderId="0" applyFont="0" applyFill="0" applyBorder="0" applyAlignment="0" applyProtection="0"/>
    <xf numFmtId="0" fontId="14" fillId="0" borderId="2"/>
    <xf numFmtId="222" fontId="6" fillId="6" borderId="0" applyFill="0" applyBorder="0" applyProtection="0">
      <alignment horizontal="right"/>
    </xf>
    <xf numFmtId="38" fontId="22" fillId="0" borderId="0" applyFont="0" applyFill="0" applyBorder="0" applyAlignment="0" applyProtection="0">
      <alignment vertical="center"/>
    </xf>
    <xf numFmtId="166" fontId="22" fillId="0" borderId="0" applyFont="0" applyFill="0" applyBorder="0" applyAlignment="0" applyProtection="0">
      <alignment vertical="center"/>
    </xf>
    <xf numFmtId="38" fontId="22" fillId="0" borderId="0" applyFill="0" applyBorder="0" applyAlignment="0" applyProtection="0">
      <alignment vertical="center"/>
    </xf>
    <xf numFmtId="216" fontId="60" fillId="0" borderId="0" applyFont="0" applyFill="0" applyBorder="0" applyAlignment="0" applyProtection="0"/>
    <xf numFmtId="0" fontId="9" fillId="0" borderId="0" applyFont="0" applyFill="0" applyBorder="0" applyAlignment="0" applyProtection="0"/>
    <xf numFmtId="223" fontId="10" fillId="0" borderId="0" applyFont="0" applyFill="0" applyBorder="0" applyAlignment="0" applyProtection="0"/>
    <xf numFmtId="225" fontId="60" fillId="0" borderId="2">
      <alignment vertical="center"/>
    </xf>
    <xf numFmtId="226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210" fontId="59" fillId="0" borderId="0">
      <protection locked="0"/>
    </xf>
    <xf numFmtId="210" fontId="59" fillId="0" borderId="0">
      <protection locked="0"/>
    </xf>
    <xf numFmtId="0" fontId="9" fillId="0" borderId="0" applyFont="0" applyFill="0" applyBorder="0" applyAlignment="0" applyProtection="0"/>
    <xf numFmtId="228" fontId="9" fillId="0" borderId="0">
      <protection locked="0"/>
    </xf>
    <xf numFmtId="210" fontId="59" fillId="0" borderId="0">
      <protection locked="0"/>
    </xf>
    <xf numFmtId="0" fontId="65" fillId="0" borderId="15">
      <alignment horizontal="center" vertical="center"/>
    </xf>
    <xf numFmtId="0" fontId="65" fillId="0" borderId="15">
      <alignment horizontal="left" vertical="center"/>
    </xf>
    <xf numFmtId="0" fontId="65" fillId="0" borderId="15">
      <alignment vertical="center" textRotation="255"/>
    </xf>
    <xf numFmtId="0" fontId="11" fillId="0" borderId="18">
      <alignment horizontal="distributed"/>
    </xf>
    <xf numFmtId="0" fontId="11" fillId="0" borderId="19">
      <alignment horizontal="distributed" vertical="top"/>
    </xf>
    <xf numFmtId="0" fontId="11" fillId="0" borderId="20">
      <alignment horizontal="distributed"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0" fillId="0" borderId="0">
      <alignment vertical="center"/>
    </xf>
    <xf numFmtId="0" fontId="79" fillId="0" borderId="0" applyFill="0" applyProtection="0">
      <alignment vertical="center"/>
    </xf>
    <xf numFmtId="0" fontId="4" fillId="0" borderId="0"/>
    <xf numFmtId="0" fontId="9" fillId="0" borderId="0"/>
    <xf numFmtId="1" fontId="11" fillId="0" borderId="16">
      <alignment horizontal="centerContinuous"/>
    </xf>
    <xf numFmtId="0" fontId="6" fillId="0" borderId="2" applyNumberFormat="0" applyFill="0" applyProtection="0">
      <alignment vertical="center"/>
    </xf>
    <xf numFmtId="0" fontId="34" fillId="0" borderId="9">
      <protection locked="0"/>
    </xf>
    <xf numFmtId="229" fontId="9" fillId="0" borderId="0">
      <protection locked="0"/>
    </xf>
    <xf numFmtId="230" fontId="9" fillId="0" borderId="0">
      <protection locked="0"/>
    </xf>
    <xf numFmtId="0" fontId="6" fillId="0" borderId="0"/>
  </cellStyleXfs>
  <cellXfs count="442">
    <xf numFmtId="0" fontId="0" fillId="0" borderId="0" xfId="0"/>
    <xf numFmtId="0" fontId="95" fillId="0" borderId="2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7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1" fillId="2" borderId="24" xfId="0" applyFont="1" applyFill="1" applyBorder="1" applyAlignment="1">
      <alignment horizontal="center" vertical="center" wrapText="1"/>
    </xf>
    <xf numFmtId="0" fontId="92" fillId="2" borderId="24" xfId="0" applyFont="1" applyFill="1" applyBorder="1" applyAlignment="1">
      <alignment horizontal="justify" vertical="center" wrapText="1"/>
    </xf>
    <xf numFmtId="0" fontId="93" fillId="0" borderId="0" xfId="0" applyFont="1" applyAlignment="1">
      <alignment horizontal="justify" vertical="center"/>
    </xf>
    <xf numFmtId="0" fontId="94" fillId="0" borderId="0" xfId="0" applyFont="1" applyAlignment="1">
      <alignment horizontal="justify" vertical="center"/>
    </xf>
    <xf numFmtId="0" fontId="78" fillId="7" borderId="2" xfId="0" applyFont="1" applyFill="1" applyBorder="1" applyAlignment="1">
      <alignment vertical="center"/>
    </xf>
    <xf numFmtId="0" fontId="7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5" fillId="0" borderId="2" xfId="0" applyFont="1" applyBorder="1" applyAlignment="1">
      <alignment vertical="center"/>
    </xf>
    <xf numFmtId="0" fontId="96" fillId="0" borderId="2" xfId="0" applyFont="1" applyBorder="1" applyAlignment="1">
      <alignment horizontal="justify" vertical="center"/>
    </xf>
    <xf numFmtId="37" fontId="56" fillId="0" borderId="2" xfId="0" applyNumberFormat="1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80" fillId="0" borderId="0" xfId="0" applyFont="1"/>
    <xf numFmtId="0" fontId="83" fillId="0" borderId="0" xfId="0" applyFont="1"/>
    <xf numFmtId="0" fontId="98" fillId="0" borderId="25" xfId="0" applyFont="1" applyBorder="1" applyAlignment="1">
      <alignment horizontal="justify" vertical="center"/>
    </xf>
    <xf numFmtId="0" fontId="80" fillId="0" borderId="26" xfId="0" applyFont="1" applyBorder="1"/>
    <xf numFmtId="0" fontId="80" fillId="0" borderId="27" xfId="0" applyFont="1" applyBorder="1"/>
    <xf numFmtId="0" fontId="98" fillId="0" borderId="28" xfId="0" applyFont="1" applyBorder="1" applyAlignment="1">
      <alignment horizontal="justify" vertical="center"/>
    </xf>
    <xf numFmtId="0" fontId="80" fillId="0" borderId="29" xfId="0" applyFont="1" applyBorder="1"/>
    <xf numFmtId="0" fontId="80" fillId="0" borderId="28" xfId="0" applyFont="1" applyBorder="1"/>
    <xf numFmtId="0" fontId="83" fillId="0" borderId="29" xfId="0" applyFont="1" applyBorder="1"/>
    <xf numFmtId="0" fontId="82" fillId="0" borderId="29" xfId="0" applyFont="1" applyBorder="1"/>
    <xf numFmtId="0" fontId="99" fillId="0" borderId="0" xfId="0" applyFont="1" applyAlignment="1">
      <alignment horizontal="left" vertical="center" wrapText="1"/>
    </xf>
    <xf numFmtId="0" fontId="99" fillId="0" borderId="29" xfId="0" applyFont="1" applyBorder="1" applyAlignment="1">
      <alignment horizontal="left" vertical="center" wrapText="1"/>
    </xf>
    <xf numFmtId="0" fontId="99" fillId="0" borderId="0" xfId="0" applyFont="1" applyAlignment="1">
      <alignment vertical="center"/>
    </xf>
    <xf numFmtId="0" fontId="98" fillId="0" borderId="28" xfId="0" applyFont="1" applyBorder="1" applyAlignment="1">
      <alignment horizontal="left" vertical="center" indent="2"/>
    </xf>
    <xf numFmtId="0" fontId="80" fillId="0" borderId="30" xfId="0" applyFont="1" applyBorder="1"/>
    <xf numFmtId="0" fontId="100" fillId="0" borderId="8" xfId="0" applyFont="1" applyBorder="1" applyAlignment="1">
      <alignment horizontal="center" vertical="center" wrapText="1"/>
    </xf>
    <xf numFmtId="0" fontId="80" fillId="0" borderId="31" xfId="0" applyFont="1" applyBorder="1"/>
    <xf numFmtId="0" fontId="0" fillId="0" borderId="26" xfId="0" applyBorder="1"/>
    <xf numFmtId="0" fontId="0" fillId="0" borderId="27" xfId="0" applyBorder="1"/>
    <xf numFmtId="0" fontId="97" fillId="0" borderId="28" xfId="0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101" fillId="0" borderId="28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29" xfId="0" applyFont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88" fillId="0" borderId="0" xfId="0" applyFont="1" applyAlignment="1">
      <alignment vertical="center"/>
    </xf>
    <xf numFmtId="0" fontId="89" fillId="0" borderId="0" xfId="0" applyFont="1"/>
    <xf numFmtId="0" fontId="100" fillId="8" borderId="32" xfId="0" applyFont="1" applyFill="1" applyBorder="1" applyAlignment="1">
      <alignment horizontal="center" vertical="center" wrapText="1"/>
    </xf>
    <xf numFmtId="166" fontId="84" fillId="0" borderId="33" xfId="0" applyNumberFormat="1" applyFont="1" applyBorder="1" applyAlignment="1">
      <alignment horizontal="right" vertical="center"/>
    </xf>
    <xf numFmtId="0" fontId="84" fillId="0" borderId="34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4" fillId="0" borderId="35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80" fillId="0" borderId="36" xfId="0" quotePrefix="1" applyNumberFormat="1" applyFont="1" applyBorder="1" applyAlignment="1">
      <alignment vertical="center"/>
    </xf>
    <xf numFmtId="49" fontId="81" fillId="0" borderId="36" xfId="0" quotePrefix="1" applyNumberFormat="1" applyFont="1" applyBorder="1" applyAlignment="1">
      <alignment vertical="center" textRotation="255"/>
    </xf>
    <xf numFmtId="0" fontId="108" fillId="0" borderId="0" xfId="0" applyFont="1" applyAlignment="1">
      <alignment horizontal="center" vertical="center"/>
    </xf>
    <xf numFmtId="0" fontId="108" fillId="0" borderId="28" xfId="0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4" fillId="0" borderId="28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9" xfId="0" applyFont="1" applyBorder="1" applyAlignment="1">
      <alignment horizontal="center" vertical="center"/>
    </xf>
    <xf numFmtId="0" fontId="80" fillId="11" borderId="2" xfId="0" applyFont="1" applyFill="1" applyBorder="1" applyAlignment="1">
      <alignment vertical="center"/>
    </xf>
    <xf numFmtId="0" fontId="80" fillId="11" borderId="2" xfId="0" applyFont="1" applyFill="1" applyBorder="1" applyAlignment="1">
      <alignment horizontal="right" vertical="center"/>
    </xf>
    <xf numFmtId="0" fontId="80" fillId="11" borderId="2" xfId="0" applyFont="1" applyFill="1" applyBorder="1" applyAlignment="1">
      <alignment horizontal="center" vertical="center"/>
    </xf>
    <xf numFmtId="164" fontId="109" fillId="11" borderId="2" xfId="2792" applyFont="1" applyFill="1" applyBorder="1" applyAlignment="1">
      <alignment horizontal="right" vertical="center" shrinkToFit="1"/>
    </xf>
    <xf numFmtId="0" fontId="85" fillId="11" borderId="37" xfId="0" applyFont="1" applyFill="1" applyBorder="1" applyAlignment="1">
      <alignment horizontal="center" vertical="center" shrinkToFit="1"/>
    </xf>
    <xf numFmtId="38" fontId="109" fillId="11" borderId="2" xfId="2792" applyNumberFormat="1" applyFont="1" applyFill="1" applyBorder="1" applyAlignment="1">
      <alignment horizontal="right" vertical="center" shrinkToFit="1"/>
    </xf>
    <xf numFmtId="0" fontId="80" fillId="11" borderId="11" xfId="0" applyFont="1" applyFill="1" applyBorder="1" applyAlignment="1">
      <alignment vertical="center"/>
    </xf>
    <xf numFmtId="0" fontId="80" fillId="11" borderId="11" xfId="0" applyFont="1" applyFill="1" applyBorder="1" applyAlignment="1">
      <alignment horizontal="right" vertical="center"/>
    </xf>
    <xf numFmtId="0" fontId="80" fillId="11" borderId="11" xfId="0" applyFont="1" applyFill="1" applyBorder="1" applyAlignment="1">
      <alignment horizontal="center" vertical="center"/>
    </xf>
    <xf numFmtId="164" fontId="109" fillId="11" borderId="2" xfId="0" applyNumberFormat="1" applyFont="1" applyFill="1" applyBorder="1" applyAlignment="1">
      <alignment horizontal="right" vertical="center" shrinkToFit="1"/>
    </xf>
    <xf numFmtId="0" fontId="102" fillId="0" borderId="38" xfId="2634" applyFont="1" applyFill="1" applyBorder="1" applyAlignment="1">
      <alignment horizontal="center" vertical="center"/>
    </xf>
    <xf numFmtId="0" fontId="102" fillId="0" borderId="39" xfId="2634" applyFont="1" applyFill="1" applyBorder="1" applyAlignment="1">
      <alignment horizontal="center" vertical="center" shrinkToFit="1"/>
    </xf>
    <xf numFmtId="49" fontId="80" fillId="0" borderId="40" xfId="0" quotePrefix="1" applyNumberFormat="1" applyFont="1" applyBorder="1" applyAlignment="1">
      <alignment vertical="center"/>
    </xf>
    <xf numFmtId="0" fontId="84" fillId="0" borderId="41" xfId="0" applyFont="1" applyBorder="1" applyAlignment="1">
      <alignment horizontal="center" vertical="center" shrinkToFit="1"/>
    </xf>
    <xf numFmtId="0" fontId="102" fillId="11" borderId="42" xfId="2634" applyFont="1" applyFill="1" applyBorder="1" applyAlignment="1">
      <alignment horizontal="center" vertical="center"/>
    </xf>
    <xf numFmtId="164" fontId="80" fillId="11" borderId="42" xfId="0" applyNumberFormat="1" applyFont="1" applyFill="1" applyBorder="1" applyAlignment="1">
      <alignment horizontal="right" vertical="center" shrinkToFit="1"/>
    </xf>
    <xf numFmtId="170" fontId="84" fillId="0" borderId="43" xfId="0" applyNumberFormat="1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164" fontId="84" fillId="0" borderId="44" xfId="2792" applyFont="1" applyBorder="1" applyAlignment="1">
      <alignment horizontal="right" vertical="center" shrinkToFit="1"/>
    </xf>
    <xf numFmtId="164" fontId="84" fillId="0" borderId="44" xfId="2792" applyFont="1" applyFill="1" applyBorder="1" applyAlignment="1">
      <alignment horizontal="right" vertical="center" shrinkToFit="1"/>
    </xf>
    <xf numFmtId="170" fontId="84" fillId="0" borderId="45" xfId="0" applyNumberFormat="1" applyFont="1" applyBorder="1" applyAlignment="1">
      <alignment horizontal="center" vertical="center"/>
    </xf>
    <xf numFmtId="0" fontId="84" fillId="0" borderId="33" xfId="0" applyFont="1" applyBorder="1" applyAlignment="1">
      <alignment horizontal="center" vertical="center"/>
    </xf>
    <xf numFmtId="164" fontId="84" fillId="0" borderId="46" xfId="2792" applyFont="1" applyBorder="1" applyAlignment="1">
      <alignment horizontal="right" vertical="center" shrinkToFit="1"/>
    </xf>
    <xf numFmtId="0" fontId="84" fillId="0" borderId="45" xfId="0" quotePrefix="1" applyFont="1" applyBorder="1" applyAlignment="1">
      <alignment horizontal="center" vertical="center"/>
    </xf>
    <xf numFmtId="0" fontId="84" fillId="0" borderId="47" xfId="0" applyFont="1" applyBorder="1" applyAlignment="1">
      <alignment horizontal="left" vertical="center" indent="1"/>
    </xf>
    <xf numFmtId="0" fontId="84" fillId="0" borderId="48" xfId="0" applyFont="1" applyBorder="1" applyAlignment="1">
      <alignment vertical="center"/>
    </xf>
    <xf numFmtId="0" fontId="84" fillId="0" borderId="48" xfId="0" applyFont="1" applyBorder="1" applyAlignment="1">
      <alignment horizontal="right" vertical="center"/>
    </xf>
    <xf numFmtId="0" fontId="84" fillId="0" borderId="48" xfId="0" applyFont="1" applyBorder="1" applyAlignment="1">
      <alignment horizontal="center" vertical="center"/>
    </xf>
    <xf numFmtId="38" fontId="84" fillId="0" borderId="48" xfId="2792" applyNumberFormat="1" applyFont="1" applyBorder="1" applyAlignment="1">
      <alignment horizontal="right" vertical="center" shrinkToFit="1"/>
    </xf>
    <xf numFmtId="0" fontId="84" fillId="0" borderId="49" xfId="0" applyFont="1" applyBorder="1" applyAlignment="1">
      <alignment horizontal="center" vertical="center" shrinkToFit="1"/>
    </xf>
    <xf numFmtId="0" fontId="84" fillId="0" borderId="50" xfId="0" applyFont="1" applyBorder="1" applyAlignment="1">
      <alignment horizontal="left" vertical="center" indent="1"/>
    </xf>
    <xf numFmtId="0" fontId="84" fillId="0" borderId="44" xfId="0" applyFont="1" applyBorder="1" applyAlignment="1">
      <alignment vertical="center"/>
    </xf>
    <xf numFmtId="166" fontId="84" fillId="0" borderId="44" xfId="0" applyNumberFormat="1" applyFont="1" applyBorder="1" applyAlignment="1">
      <alignment horizontal="right" vertical="center"/>
    </xf>
    <xf numFmtId="38" fontId="84" fillId="0" borderId="11" xfId="2792" applyNumberFormat="1" applyFont="1" applyBorder="1" applyAlignment="1">
      <alignment horizontal="right" vertical="center" shrinkToFit="1"/>
    </xf>
    <xf numFmtId="0" fontId="84" fillId="0" borderId="51" xfId="0" applyFont="1" applyBorder="1" applyAlignment="1">
      <alignment horizontal="left" vertical="center" indent="1"/>
    </xf>
    <xf numFmtId="0" fontId="84" fillId="0" borderId="33" xfId="0" applyFont="1" applyBorder="1" applyAlignment="1">
      <alignment vertical="center"/>
    </xf>
    <xf numFmtId="38" fontId="84" fillId="0" borderId="33" xfId="0" applyNumberFormat="1" applyFont="1" applyBorder="1" applyAlignment="1">
      <alignment horizontal="right" vertical="center" shrinkToFit="1"/>
    </xf>
    <xf numFmtId="0" fontId="84" fillId="0" borderId="52" xfId="0" applyFont="1" applyBorder="1" applyAlignment="1">
      <alignment vertical="center"/>
    </xf>
    <xf numFmtId="0" fontId="84" fillId="0" borderId="46" xfId="0" applyFont="1" applyBorder="1" applyAlignment="1">
      <alignment horizontal="center" vertical="center"/>
    </xf>
    <xf numFmtId="232" fontId="84" fillId="0" borderId="45" xfId="0" applyNumberFormat="1" applyFont="1" applyBorder="1" applyAlignment="1">
      <alignment horizontal="center" vertical="center"/>
    </xf>
    <xf numFmtId="232" fontId="84" fillId="0" borderId="33" xfId="0" applyNumberFormat="1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3" fillId="0" borderId="53" xfId="0" applyFont="1" applyBorder="1" applyAlignment="1">
      <alignment vertical="center"/>
    </xf>
    <xf numFmtId="0" fontId="84" fillId="0" borderId="54" xfId="0" applyFont="1" applyBorder="1" applyAlignment="1">
      <alignment horizontal="left" vertical="center" indent="1"/>
    </xf>
    <xf numFmtId="166" fontId="84" fillId="0" borderId="46" xfId="0" applyNumberFormat="1" applyFont="1" applyBorder="1" applyAlignment="1">
      <alignment horizontal="right" vertical="center"/>
    </xf>
    <xf numFmtId="232" fontId="84" fillId="0" borderId="46" xfId="0" applyNumberFormat="1" applyFont="1" applyBorder="1" applyAlignment="1">
      <alignment horizontal="center" vertical="center"/>
    </xf>
    <xf numFmtId="38" fontId="84" fillId="0" borderId="46" xfId="0" applyNumberFormat="1" applyFont="1" applyBorder="1" applyAlignment="1">
      <alignment horizontal="right" vertical="center" shrinkToFit="1"/>
    </xf>
    <xf numFmtId="0" fontId="84" fillId="11" borderId="2" xfId="0" applyFont="1" applyFill="1" applyBorder="1" applyAlignment="1">
      <alignment horizontal="right" vertical="center"/>
    </xf>
    <xf numFmtId="0" fontId="81" fillId="8" borderId="55" xfId="0" applyFont="1" applyFill="1" applyBorder="1" applyAlignment="1">
      <alignment horizontal="center" vertical="center" shrinkToFit="1"/>
    </xf>
    <xf numFmtId="164" fontId="81" fillId="8" borderId="8" xfId="0" applyNumberFormat="1" applyFont="1" applyFill="1" applyBorder="1" applyAlignment="1">
      <alignment vertical="center" shrinkToFit="1"/>
    </xf>
    <xf numFmtId="0" fontId="107" fillId="0" borderId="8" xfId="0" applyFont="1" applyBorder="1" applyAlignment="1">
      <alignment vertical="center" wrapText="1"/>
    </xf>
    <xf numFmtId="0" fontId="0" fillId="0" borderId="30" xfId="0" applyBorder="1"/>
    <xf numFmtId="0" fontId="0" fillId="0" borderId="8" xfId="0" applyBorder="1"/>
    <xf numFmtId="0" fontId="0" fillId="0" borderId="31" xfId="0" applyBorder="1"/>
    <xf numFmtId="0" fontId="83" fillId="0" borderId="29" xfId="0" applyFont="1" applyBorder="1" applyAlignment="1">
      <alignment horizontal="left" vertical="center"/>
    </xf>
    <xf numFmtId="0" fontId="106" fillId="0" borderId="0" xfId="0" applyFont="1" applyAlignment="1">
      <alignment vertical="center"/>
    </xf>
    <xf numFmtId="0" fontId="106" fillId="0" borderId="29" xfId="0" applyFont="1" applyBorder="1" applyAlignment="1">
      <alignment vertical="center"/>
    </xf>
    <xf numFmtId="0" fontId="107" fillId="0" borderId="0" xfId="0" applyFont="1" applyAlignment="1">
      <alignment vertical="center" wrapText="1"/>
    </xf>
    <xf numFmtId="0" fontId="0" fillId="0" borderId="29" xfId="0" applyBorder="1" applyAlignment="1">
      <alignment shrinkToFit="1"/>
    </xf>
    <xf numFmtId="164" fontId="80" fillId="0" borderId="2" xfId="0" applyNumberFormat="1" applyFont="1" applyBorder="1" applyAlignment="1">
      <alignment vertical="center" shrinkToFit="1"/>
    </xf>
    <xf numFmtId="0" fontId="111" fillId="0" borderId="0" xfId="0" applyFont="1" applyAlignment="1">
      <alignment horizontal="left" vertical="center" wrapText="1"/>
    </xf>
    <xf numFmtId="0" fontId="111" fillId="0" borderId="29" xfId="0" applyFont="1" applyBorder="1" applyAlignment="1">
      <alignment horizontal="left" vertical="center" wrapText="1"/>
    </xf>
    <xf numFmtId="0" fontId="110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99" fillId="0" borderId="29" xfId="0" applyFont="1" applyBorder="1" applyAlignment="1">
      <alignment vertical="center" shrinkToFit="1"/>
    </xf>
    <xf numFmtId="0" fontId="102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0" fontId="82" fillId="0" borderId="0" xfId="0" applyFont="1"/>
    <xf numFmtId="0" fontId="80" fillId="0" borderId="8" xfId="0" applyFont="1" applyBorder="1"/>
    <xf numFmtId="0" fontId="65" fillId="0" borderId="0" xfId="0" applyFont="1"/>
    <xf numFmtId="0" fontId="106" fillId="0" borderId="0" xfId="0" applyFont="1" applyAlignment="1">
      <alignment horizontal="left" vertical="center"/>
    </xf>
    <xf numFmtId="0" fontId="84" fillId="11" borderId="37" xfId="0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center" vertical="center" wrapText="1" shrinkToFit="1"/>
    </xf>
    <xf numFmtId="0" fontId="84" fillId="0" borderId="37" xfId="0" applyFont="1" applyBorder="1" applyAlignment="1">
      <alignment horizontal="center" vertical="center" shrinkToFit="1"/>
    </xf>
    <xf numFmtId="0" fontId="102" fillId="12" borderId="56" xfId="2634" applyFont="1" applyFill="1" applyBorder="1" applyAlignment="1">
      <alignment horizontal="center" vertical="center" shrinkToFit="1"/>
    </xf>
    <xf numFmtId="164" fontId="80" fillId="13" borderId="2" xfId="0" applyNumberFormat="1" applyFont="1" applyFill="1" applyBorder="1" applyAlignment="1">
      <alignment vertical="center" shrinkToFit="1"/>
    </xf>
    <xf numFmtId="0" fontId="84" fillId="13" borderId="37" xfId="0" applyFont="1" applyFill="1" applyBorder="1" applyAlignment="1">
      <alignment horizontal="center" vertical="center" shrinkToFit="1"/>
    </xf>
    <xf numFmtId="231" fontId="87" fillId="0" borderId="0" xfId="0" applyNumberFormat="1" applyFont="1" applyAlignment="1">
      <alignment horizontal="center" vertical="center" shrinkToFit="1"/>
    </xf>
    <xf numFmtId="164" fontId="80" fillId="0" borderId="2" xfId="0" applyNumberFormat="1" applyFont="1" applyBorder="1" applyAlignment="1">
      <alignment horizontal="right" vertical="center" shrinkToFit="1"/>
    </xf>
    <xf numFmtId="0" fontId="95" fillId="0" borderId="7" xfId="0" applyFont="1" applyBorder="1" applyAlignment="1">
      <alignment horizontal="left" vertical="center"/>
    </xf>
    <xf numFmtId="0" fontId="95" fillId="0" borderId="23" xfId="0" applyFont="1" applyBorder="1" applyAlignment="1">
      <alignment horizontal="left" vertical="center"/>
    </xf>
    <xf numFmtId="14" fontId="95" fillId="0" borderId="22" xfId="0" applyNumberFormat="1" applyFont="1" applyBorder="1" applyAlignment="1">
      <alignment horizontal="left" vertical="center"/>
    </xf>
    <xf numFmtId="0" fontId="95" fillId="0" borderId="22" xfId="0" applyFont="1" applyBorder="1" applyAlignment="1">
      <alignment vertical="center"/>
    </xf>
    <xf numFmtId="0" fontId="95" fillId="0" borderId="7" xfId="0" applyFont="1" applyBorder="1" applyAlignment="1">
      <alignment vertical="center"/>
    </xf>
    <xf numFmtId="0" fontId="95" fillId="0" borderId="23" xfId="0" applyFont="1" applyBorder="1" applyAlignment="1">
      <alignment vertical="center"/>
    </xf>
    <xf numFmtId="0" fontId="83" fillId="2" borderId="29" xfId="0" applyFont="1" applyFill="1" applyBorder="1" applyAlignment="1">
      <alignment vertical="center" shrinkToFit="1"/>
    </xf>
    <xf numFmtId="0" fontId="83" fillId="2" borderId="31" xfId="0" applyFont="1" applyFill="1" applyBorder="1" applyAlignment="1">
      <alignment vertical="center" shrinkToFit="1"/>
    </xf>
    <xf numFmtId="0" fontId="83" fillId="2" borderId="27" xfId="0" applyFont="1" applyFill="1" applyBorder="1" applyAlignment="1">
      <alignment vertical="center" shrinkToFit="1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14" fillId="0" borderId="0" xfId="0" applyFont="1" applyAlignment="1">
      <alignment horizontal="justify" vertical="center"/>
    </xf>
    <xf numFmtId="0" fontId="118" fillId="0" borderId="0" xfId="0" applyFont="1" applyAlignment="1">
      <alignment vertical="center" wrapText="1"/>
    </xf>
    <xf numFmtId="0" fontId="121" fillId="0" borderId="0" xfId="0" applyFont="1" applyAlignment="1">
      <alignment vertical="center" wrapText="1"/>
    </xf>
    <xf numFmtId="0" fontId="121" fillId="0" borderId="0" xfId="0" applyFont="1" applyAlignment="1">
      <alignment horizontal="left" vertical="center" wrapText="1"/>
    </xf>
    <xf numFmtId="0" fontId="121" fillId="0" borderId="0" xfId="0" applyFont="1" applyAlignment="1">
      <alignment horizontal="center" vertical="center" wrapText="1"/>
    </xf>
    <xf numFmtId="0" fontId="114" fillId="0" borderId="28" xfId="0" applyFont="1" applyBorder="1" applyAlignment="1">
      <alignment vertical="center" wrapText="1"/>
    </xf>
    <xf numFmtId="0" fontId="114" fillId="0" borderId="0" xfId="0" applyFont="1" applyAlignment="1">
      <alignment vertical="center" wrapText="1"/>
    </xf>
    <xf numFmtId="0" fontId="121" fillId="0" borderId="28" xfId="0" applyFont="1" applyBorder="1" applyAlignment="1">
      <alignment vertical="center" wrapText="1"/>
    </xf>
    <xf numFmtId="0" fontId="121" fillId="0" borderId="0" xfId="0" applyFont="1" applyAlignment="1">
      <alignment horizontal="center" vertical="center"/>
    </xf>
    <xf numFmtId="0" fontId="126" fillId="0" borderId="0" xfId="0" applyFont="1" applyAlignment="1">
      <alignment horizontal="left" vertical="center"/>
    </xf>
    <xf numFmtId="0" fontId="128" fillId="0" borderId="0" xfId="0" applyFont="1" applyAlignment="1">
      <alignment horizontal="justify" vertical="center"/>
    </xf>
    <xf numFmtId="0" fontId="121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2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33" fillId="0" borderId="26" xfId="2634" applyFont="1" applyFill="1" applyBorder="1" applyAlignment="1">
      <alignment horizontal="center" vertical="center"/>
    </xf>
    <xf numFmtId="49" fontId="0" fillId="0" borderId="90" xfId="0" quotePrefix="1" applyNumberFormat="1" applyBorder="1" applyAlignment="1">
      <alignment vertical="center"/>
    </xf>
    <xf numFmtId="0" fontId="0" fillId="0" borderId="91" xfId="0" applyBorder="1" applyAlignment="1">
      <alignment horizontal="center" vertical="center"/>
    </xf>
    <xf numFmtId="0" fontId="65" fillId="0" borderId="91" xfId="0" applyFont="1" applyBorder="1" applyAlignment="1">
      <alignment horizontal="center" vertical="center"/>
    </xf>
    <xf numFmtId="0" fontId="0" fillId="0" borderId="91" xfId="0" applyBorder="1" applyAlignment="1">
      <alignment vertical="center"/>
    </xf>
    <xf numFmtId="49" fontId="0" fillId="0" borderId="28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140" fillId="0" borderId="28" xfId="0" quotePrefix="1" applyNumberFormat="1" applyFont="1" applyBorder="1" applyAlignment="1">
      <alignment vertical="center" textRotation="255"/>
    </xf>
    <xf numFmtId="170" fontId="65" fillId="0" borderId="0" xfId="0" applyNumberFormat="1" applyFont="1" applyAlignment="1">
      <alignment horizontal="center" vertical="center"/>
    </xf>
    <xf numFmtId="49" fontId="0" fillId="0" borderId="93" xfId="0" quotePrefix="1" applyNumberFormat="1" applyBorder="1" applyAlignment="1">
      <alignment vertical="center"/>
    </xf>
    <xf numFmtId="170" fontId="65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96" xfId="0" applyBorder="1" applyAlignment="1">
      <alignment horizontal="center" vertical="center"/>
    </xf>
    <xf numFmtId="0" fontId="0" fillId="0" borderId="96" xfId="0" applyBorder="1" applyAlignment="1">
      <alignment vertical="center"/>
    </xf>
    <xf numFmtId="0" fontId="0" fillId="0" borderId="91" xfId="0" applyBorder="1" applyAlignment="1">
      <alignment horizontal="right" vertical="center"/>
    </xf>
    <xf numFmtId="0" fontId="0" fillId="0" borderId="28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0" fontId="65" fillId="0" borderId="0" xfId="0" applyFont="1" applyAlignment="1">
      <alignment horizontal="right" vertical="center"/>
    </xf>
    <xf numFmtId="213" fontId="65" fillId="0" borderId="0" xfId="0" applyNumberFormat="1" applyFont="1" applyAlignment="1">
      <alignment horizontal="center" vertical="center"/>
    </xf>
    <xf numFmtId="0" fontId="0" fillId="0" borderId="96" xfId="0" applyBorder="1" applyAlignment="1">
      <alignment horizontal="right" vertical="center"/>
    </xf>
    <xf numFmtId="0" fontId="0" fillId="0" borderId="96" xfId="0" applyBorder="1" applyAlignment="1">
      <alignment vertical="center" shrinkToFit="1"/>
    </xf>
    <xf numFmtId="0" fontId="56" fillId="0" borderId="99" xfId="0" applyFont="1" applyBorder="1" applyAlignment="1">
      <alignment horizontal="right" vertical="center"/>
    </xf>
    <xf numFmtId="0" fontId="56" fillId="0" borderId="99" xfId="0" applyFont="1" applyBorder="1" applyAlignment="1">
      <alignment vertical="center"/>
    </xf>
    <xf numFmtId="0" fontId="56" fillId="0" borderId="99" xfId="0" applyFont="1" applyBorder="1" applyAlignment="1">
      <alignment vertical="center" shrinkToFit="1"/>
    </xf>
    <xf numFmtId="0" fontId="56" fillId="0" borderId="99" xfId="0" applyFont="1" applyBorder="1" applyAlignment="1">
      <alignment horizontal="center" vertical="center"/>
    </xf>
    <xf numFmtId="0" fontId="95" fillId="0" borderId="2" xfId="0" applyFont="1" applyBorder="1" applyAlignment="1">
      <alignment horizontal="left" vertical="center"/>
    </xf>
    <xf numFmtId="0" fontId="92" fillId="2" borderId="21" xfId="0" applyFont="1" applyFill="1" applyBorder="1" applyAlignment="1">
      <alignment horizontal="center" vertical="center" wrapText="1"/>
    </xf>
    <xf numFmtId="0" fontId="92" fillId="2" borderId="0" xfId="0" applyFont="1" applyFill="1" applyAlignment="1">
      <alignment horizontal="center" vertical="center" wrapText="1"/>
    </xf>
    <xf numFmtId="0" fontId="95" fillId="0" borderId="2" xfId="0" applyFont="1" applyBorder="1" applyAlignment="1">
      <alignment horizontal="left" vertical="center"/>
    </xf>
    <xf numFmtId="14" fontId="95" fillId="0" borderId="2" xfId="0" applyNumberFormat="1" applyFont="1" applyBorder="1" applyAlignment="1">
      <alignment horizontal="left" vertical="center"/>
    </xf>
    <xf numFmtId="0" fontId="95" fillId="0" borderId="22" xfId="0" applyFont="1" applyBorder="1" applyAlignment="1">
      <alignment horizontal="left" vertical="center"/>
    </xf>
    <xf numFmtId="0" fontId="95" fillId="0" borderId="7" xfId="0" applyFont="1" applyBorder="1" applyAlignment="1">
      <alignment horizontal="left" vertical="center"/>
    </xf>
    <xf numFmtId="0" fontId="95" fillId="0" borderId="23" xfId="0" applyFont="1" applyBorder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78" fillId="0" borderId="29" xfId="0" applyFont="1" applyBorder="1" applyAlignment="1">
      <alignment horizontal="left" vertical="center"/>
    </xf>
    <xf numFmtId="0" fontId="103" fillId="0" borderId="26" xfId="0" applyFont="1" applyBorder="1" applyAlignment="1">
      <alignment horizontal="left" vertical="center"/>
    </xf>
    <xf numFmtId="0" fontId="108" fillId="8" borderId="28" xfId="0" applyFont="1" applyFill="1" applyBorder="1" applyAlignment="1">
      <alignment horizontal="center" vertical="center"/>
    </xf>
    <xf numFmtId="0" fontId="108" fillId="8" borderId="0" xfId="0" applyFont="1" applyFill="1" applyAlignment="1">
      <alignment horizontal="center" vertical="center"/>
    </xf>
    <xf numFmtId="0" fontId="108" fillId="8" borderId="29" xfId="0" applyFont="1" applyFill="1" applyBorder="1" applyAlignment="1">
      <alignment horizontal="center" vertical="center"/>
    </xf>
    <xf numFmtId="0" fontId="100" fillId="8" borderId="6" xfId="0" applyFont="1" applyFill="1" applyBorder="1" applyAlignment="1">
      <alignment horizontal="left" vertical="center" wrapText="1"/>
    </xf>
    <xf numFmtId="0" fontId="100" fillId="8" borderId="57" xfId="0" applyFont="1" applyFill="1" applyBorder="1" applyAlignment="1">
      <alignment horizontal="left" vertical="center" wrapText="1"/>
    </xf>
    <xf numFmtId="0" fontId="98" fillId="0" borderId="0" xfId="0" applyFont="1" applyAlignment="1">
      <alignment horizontal="left" vertical="center" wrapText="1"/>
    </xf>
    <xf numFmtId="14" fontId="104" fillId="0" borderId="28" xfId="0" applyNumberFormat="1" applyFont="1" applyBorder="1" applyAlignment="1">
      <alignment horizontal="center" vertical="center"/>
    </xf>
    <xf numFmtId="14" fontId="104" fillId="0" borderId="0" xfId="0" applyNumberFormat="1" applyFont="1" applyAlignment="1">
      <alignment horizontal="center" vertical="center"/>
    </xf>
    <xf numFmtId="14" fontId="104" fillId="0" borderId="29" xfId="0" applyNumberFormat="1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 shrinkToFit="1"/>
    </xf>
    <xf numFmtId="0" fontId="105" fillId="0" borderId="28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0" fontId="141" fillId="0" borderId="0" xfId="0" applyFont="1" applyAlignment="1">
      <alignment horizontal="center"/>
    </xf>
    <xf numFmtId="0" fontId="100" fillId="0" borderId="8" xfId="0" applyFont="1" applyBorder="1" applyAlignment="1">
      <alignment horizontal="left" vertical="center" wrapText="1"/>
    </xf>
    <xf numFmtId="0" fontId="82" fillId="0" borderId="0" xfId="0" applyFont="1" applyAlignment="1">
      <alignment horizontal="left" vertical="center"/>
    </xf>
    <xf numFmtId="0" fontId="103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14" fontId="82" fillId="0" borderId="0" xfId="0" applyNumberFormat="1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82" fillId="11" borderId="58" xfId="0" applyFont="1" applyFill="1" applyBorder="1" applyAlignment="1">
      <alignment horizontal="left" vertical="center"/>
    </xf>
    <xf numFmtId="0" fontId="82" fillId="11" borderId="2" xfId="0" applyFont="1" applyFill="1" applyBorder="1" applyAlignment="1">
      <alignment horizontal="left" vertical="center"/>
    </xf>
    <xf numFmtId="0" fontId="90" fillId="0" borderId="30" xfId="0" applyFont="1" applyBorder="1" applyAlignment="1">
      <alignment horizontal="center" vertical="center"/>
    </xf>
    <xf numFmtId="0" fontId="90" fillId="0" borderId="8" xfId="0" applyFont="1" applyBorder="1" applyAlignment="1">
      <alignment horizontal="center" vertical="center"/>
    </xf>
    <xf numFmtId="0" fontId="90" fillId="0" borderId="31" xfId="0" applyFont="1" applyBorder="1" applyAlignment="1">
      <alignment horizontal="center" vertical="center"/>
    </xf>
    <xf numFmtId="0" fontId="102" fillId="0" borderId="59" xfId="2634" applyFont="1" applyFill="1" applyBorder="1" applyAlignment="1">
      <alignment horizontal="center" vertical="center"/>
    </xf>
    <xf numFmtId="0" fontId="102" fillId="0" borderId="38" xfId="2634" applyFont="1" applyFill="1" applyBorder="1" applyAlignment="1">
      <alignment horizontal="center" vertical="center"/>
    </xf>
    <xf numFmtId="0" fontId="82" fillId="0" borderId="58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0" fillId="11" borderId="58" xfId="0" applyFont="1" applyFill="1" applyBorder="1" applyAlignment="1">
      <alignment horizontal="left" vertical="center"/>
    </xf>
    <xf numFmtId="0" fontId="80" fillId="11" borderId="2" xfId="0" applyFont="1" applyFill="1" applyBorder="1" applyAlignment="1">
      <alignment horizontal="left" vertical="center"/>
    </xf>
    <xf numFmtId="0" fontId="102" fillId="11" borderId="65" xfId="2634" applyFont="1" applyFill="1" applyBorder="1" applyAlignment="1">
      <alignment horizontal="left" vertical="center"/>
    </xf>
    <xf numFmtId="0" fontId="102" fillId="11" borderId="66" xfId="2634" applyFont="1" applyFill="1" applyBorder="1" applyAlignment="1">
      <alignment horizontal="left" vertical="center"/>
    </xf>
    <xf numFmtId="0" fontId="82" fillId="0" borderId="58" xfId="0" applyFont="1" applyBorder="1" applyAlignment="1">
      <alignment horizontal="left" vertical="center"/>
    </xf>
    <xf numFmtId="0" fontId="82" fillId="0" borderId="2" xfId="0" applyFont="1" applyBorder="1" applyAlignment="1">
      <alignment horizontal="left" vertical="center"/>
    </xf>
    <xf numFmtId="0" fontId="80" fillId="0" borderId="2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 shrinkToFit="1"/>
    </xf>
    <xf numFmtId="0" fontId="81" fillId="8" borderId="60" xfId="0" applyFont="1" applyFill="1" applyBorder="1" applyAlignment="1">
      <alignment horizontal="center" vertical="center"/>
    </xf>
    <xf numFmtId="0" fontId="81" fillId="8" borderId="17" xfId="0" applyFont="1" applyFill="1" applyBorder="1" applyAlignment="1">
      <alignment horizontal="center" vertical="center"/>
    </xf>
    <xf numFmtId="0" fontId="81" fillId="8" borderId="61" xfId="0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center" vertical="center"/>
    </xf>
    <xf numFmtId="169" fontId="81" fillId="8" borderId="17" xfId="0" applyNumberFormat="1" applyFont="1" applyFill="1" applyBorder="1" applyAlignment="1">
      <alignment horizontal="left" vertical="center" shrinkToFit="1"/>
    </xf>
    <xf numFmtId="169" fontId="81" fillId="8" borderId="62" xfId="0" applyNumberFormat="1" applyFont="1" applyFill="1" applyBorder="1" applyAlignment="1">
      <alignment horizontal="left" vertical="center" shrinkToFit="1"/>
    </xf>
    <xf numFmtId="169" fontId="81" fillId="8" borderId="1" xfId="0" applyNumberFormat="1" applyFont="1" applyFill="1" applyBorder="1" applyAlignment="1">
      <alignment horizontal="left" vertical="center" shrinkToFit="1"/>
    </xf>
    <xf numFmtId="169" fontId="81" fillId="8" borderId="63" xfId="0" applyNumberFormat="1" applyFont="1" applyFill="1" applyBorder="1" applyAlignment="1">
      <alignment horizontal="left" vertical="center" shrinkToFit="1"/>
    </xf>
    <xf numFmtId="169" fontId="81" fillId="8" borderId="69" xfId="0" applyNumberFormat="1" applyFont="1" applyFill="1" applyBorder="1" applyAlignment="1">
      <alignment horizontal="left" vertical="center" shrinkToFit="1"/>
    </xf>
    <xf numFmtId="169" fontId="81" fillId="8" borderId="6" xfId="0" applyNumberFormat="1" applyFont="1" applyFill="1" applyBorder="1" applyAlignment="1">
      <alignment horizontal="left" vertical="center" shrinkToFit="1"/>
    </xf>
    <xf numFmtId="169" fontId="81" fillId="8" borderId="57" xfId="0" applyNumberFormat="1" applyFont="1" applyFill="1" applyBorder="1" applyAlignment="1">
      <alignment horizontal="left" vertical="center" shrinkToFit="1"/>
    </xf>
    <xf numFmtId="0" fontId="85" fillId="0" borderId="0" xfId="0" applyFont="1" applyAlignment="1">
      <alignment vertical="center" shrinkToFit="1"/>
    </xf>
    <xf numFmtId="0" fontId="81" fillId="8" borderId="67" xfId="0" applyFont="1" applyFill="1" applyBorder="1" applyAlignment="1">
      <alignment horizontal="center" vertical="center"/>
    </xf>
    <xf numFmtId="0" fontId="81" fillId="8" borderId="68" xfId="0" applyFont="1" applyFill="1" applyBorder="1" applyAlignment="1">
      <alignment horizontal="center" vertical="center"/>
    </xf>
    <xf numFmtId="0" fontId="83" fillId="2" borderId="25" xfId="0" applyFont="1" applyFill="1" applyBorder="1" applyAlignment="1">
      <alignment horizontal="center" vertical="center"/>
    </xf>
    <xf numFmtId="0" fontId="83" fillId="2" borderId="26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0" fontId="83" fillId="2" borderId="0" xfId="0" applyFont="1" applyFill="1" applyAlignment="1">
      <alignment horizontal="center" vertical="center"/>
    </xf>
    <xf numFmtId="0" fontId="83" fillId="2" borderId="30" xfId="0" applyFont="1" applyFill="1" applyBorder="1" applyAlignment="1">
      <alignment horizontal="center" vertical="center"/>
    </xf>
    <xf numFmtId="0" fontId="83" fillId="2" borderId="8" xfId="0" applyFont="1" applyFill="1" applyBorder="1" applyAlignment="1">
      <alignment horizontal="center" vertical="center"/>
    </xf>
    <xf numFmtId="0" fontId="86" fillId="0" borderId="26" xfId="0" applyFont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2" fillId="13" borderId="58" xfId="0" applyFont="1" applyFill="1" applyBorder="1" applyAlignment="1">
      <alignment horizontal="center" vertical="center"/>
    </xf>
    <xf numFmtId="0" fontId="82" fillId="13" borderId="2" xfId="0" applyFont="1" applyFill="1" applyBorder="1" applyAlignment="1">
      <alignment horizontal="center" vertical="center"/>
    </xf>
    <xf numFmtId="0" fontId="80" fillId="0" borderId="8" xfId="0" applyFont="1" applyBorder="1" applyAlignment="1">
      <alignment horizontal="center" vertical="center" shrinkToFit="1"/>
    </xf>
    <xf numFmtId="0" fontId="80" fillId="8" borderId="64" xfId="0" applyFont="1" applyFill="1" applyBorder="1" applyAlignment="1">
      <alignment horizontal="center" vertical="center"/>
    </xf>
    <xf numFmtId="0" fontId="80" fillId="13" borderId="2" xfId="0" applyFont="1" applyFill="1" applyBorder="1" applyAlignment="1">
      <alignment horizontal="center" vertical="center"/>
    </xf>
    <xf numFmtId="0" fontId="81" fillId="8" borderId="70" xfId="0" applyFont="1" applyFill="1" applyBorder="1" applyAlignment="1">
      <alignment horizontal="center" vertical="center"/>
    </xf>
    <xf numFmtId="0" fontId="81" fillId="8" borderId="64" xfId="0" applyFont="1" applyFill="1" applyBorder="1" applyAlignment="1">
      <alignment horizontal="center" vertical="center"/>
    </xf>
    <xf numFmtId="0" fontId="115" fillId="14" borderId="71" xfId="0" applyFont="1" applyFill="1" applyBorder="1" applyAlignment="1">
      <alignment horizontal="center" vertical="center" wrapText="1"/>
    </xf>
    <xf numFmtId="0" fontId="115" fillId="14" borderId="0" xfId="0" applyFont="1" applyFill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 wrapText="1"/>
    </xf>
    <xf numFmtId="0" fontId="114" fillId="14" borderId="71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4" fontId="117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left" vertical="center" wrapText="1"/>
    </xf>
    <xf numFmtId="0" fontId="120" fillId="0" borderId="0" xfId="0" applyFont="1" applyAlignment="1">
      <alignment horizontal="left" vertical="center" wrapText="1"/>
    </xf>
    <xf numFmtId="0" fontId="121" fillId="0" borderId="0" xfId="0" applyFont="1" applyAlignment="1">
      <alignment horizontal="left" vertical="center" wrapText="1"/>
    </xf>
    <xf numFmtId="0" fontId="123" fillId="0" borderId="25" xfId="0" applyFont="1" applyBorder="1" applyAlignment="1">
      <alignment horizontal="center" vertical="center" wrapText="1"/>
    </xf>
    <xf numFmtId="0" fontId="123" fillId="0" borderId="26" xfId="0" applyFont="1" applyBorder="1" applyAlignment="1">
      <alignment horizontal="center" vertical="center" wrapText="1"/>
    </xf>
    <xf numFmtId="0" fontId="123" fillId="0" borderId="27" xfId="0" applyFont="1" applyBorder="1" applyAlignment="1">
      <alignment horizontal="center" vertical="center" wrapText="1"/>
    </xf>
    <xf numFmtId="0" fontId="124" fillId="0" borderId="72" xfId="0" applyFont="1" applyBorder="1" applyAlignment="1">
      <alignment horizontal="center" vertical="center" textRotation="255" wrapText="1"/>
    </xf>
    <xf numFmtId="0" fontId="124" fillId="0" borderId="42" xfId="0" applyFont="1" applyBorder="1" applyAlignment="1">
      <alignment horizontal="center" vertical="center" textRotation="255" wrapText="1"/>
    </xf>
    <xf numFmtId="0" fontId="124" fillId="0" borderId="58" xfId="0" applyFont="1" applyBorder="1" applyAlignment="1">
      <alignment horizontal="center" vertical="center" textRotation="255" wrapText="1"/>
    </xf>
    <xf numFmtId="0" fontId="124" fillId="0" borderId="2" xfId="0" applyFont="1" applyBorder="1" applyAlignment="1">
      <alignment horizontal="center" vertical="center" textRotation="255" wrapText="1"/>
    </xf>
    <xf numFmtId="0" fontId="125" fillId="0" borderId="42" xfId="0" applyFont="1" applyBorder="1" applyAlignment="1">
      <alignment horizontal="center" vertical="center" wrapText="1"/>
    </xf>
    <xf numFmtId="0" fontId="126" fillId="0" borderId="42" xfId="0" applyFont="1" applyBorder="1" applyAlignment="1">
      <alignment horizontal="left" vertical="center" wrapText="1"/>
    </xf>
    <xf numFmtId="0" fontId="126" fillId="0" borderId="56" xfId="0" applyFont="1" applyBorder="1" applyAlignment="1">
      <alignment horizontal="left" vertical="center" wrapText="1"/>
    </xf>
    <xf numFmtId="0" fontId="125" fillId="0" borderId="2" xfId="0" applyFont="1" applyBorder="1" applyAlignment="1">
      <alignment horizontal="center" vertical="center" wrapText="1"/>
    </xf>
    <xf numFmtId="0" fontId="121" fillId="0" borderId="29" xfId="0" applyFont="1" applyBorder="1" applyAlignment="1">
      <alignment horizontal="left" vertical="center" wrapText="1"/>
    </xf>
    <xf numFmtId="0" fontId="122" fillId="0" borderId="0" xfId="0" applyFont="1" applyAlignment="1">
      <alignment horizontal="left" vertical="center" wrapText="1"/>
    </xf>
    <xf numFmtId="0" fontId="122" fillId="0" borderId="29" xfId="0" applyFont="1" applyBorder="1" applyAlignment="1">
      <alignment horizontal="left" vertical="center" wrapText="1"/>
    </xf>
    <xf numFmtId="0" fontId="121" fillId="0" borderId="13" xfId="0" applyFont="1" applyBorder="1" applyAlignment="1">
      <alignment horizontal="left" vertical="center" wrapText="1"/>
    </xf>
    <xf numFmtId="0" fontId="121" fillId="0" borderId="73" xfId="0" applyFont="1" applyBorder="1" applyAlignment="1">
      <alignment horizontal="left" vertical="center" wrapText="1"/>
    </xf>
    <xf numFmtId="0" fontId="114" fillId="0" borderId="28" xfId="0" applyFont="1" applyBorder="1" applyAlignment="1">
      <alignment horizontal="justify" vertical="center" wrapText="1"/>
    </xf>
    <xf numFmtId="0" fontId="114" fillId="0" borderId="0" xfId="0" applyFont="1" applyAlignment="1">
      <alignment horizontal="justify" vertical="center" wrapText="1"/>
    </xf>
    <xf numFmtId="0" fontId="121" fillId="0" borderId="28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wrapText="1"/>
    </xf>
    <xf numFmtId="0" fontId="121" fillId="0" borderId="37" xfId="0" applyFont="1" applyBorder="1" applyAlignment="1">
      <alignment horizontal="left" vertical="center" wrapText="1"/>
    </xf>
    <xf numFmtId="0" fontId="121" fillId="0" borderId="58" xfId="0" applyFont="1" applyBorder="1" applyAlignment="1">
      <alignment horizontal="center" vertical="center" wrapText="1"/>
    </xf>
    <xf numFmtId="0" fontId="121" fillId="0" borderId="2" xfId="0" applyFont="1" applyBorder="1" applyAlignment="1">
      <alignment horizontal="center" vertical="center" wrapText="1"/>
    </xf>
    <xf numFmtId="0" fontId="121" fillId="0" borderId="37" xfId="0" applyFont="1" applyBorder="1" applyAlignment="1">
      <alignment horizontal="center" vertical="center" wrapText="1"/>
    </xf>
    <xf numFmtId="0" fontId="124" fillId="0" borderId="60" xfId="0" applyFont="1" applyBorder="1" applyAlignment="1">
      <alignment horizontal="center" vertical="center" textRotation="255" wrapText="1"/>
    </xf>
    <xf numFmtId="0" fontId="124" fillId="0" borderId="17" xfId="0" applyFont="1" applyBorder="1" applyAlignment="1">
      <alignment horizontal="center" vertical="center" textRotation="255" wrapText="1"/>
    </xf>
    <xf numFmtId="0" fontId="124" fillId="0" borderId="75" xfId="0" applyFont="1" applyBorder="1" applyAlignment="1">
      <alignment horizontal="center" vertical="center" textRotation="255" wrapText="1"/>
    </xf>
    <xf numFmtId="0" fontId="124" fillId="0" borderId="18" xfId="0" applyFont="1" applyBorder="1" applyAlignment="1">
      <alignment horizontal="center" vertical="center" textRotation="255" wrapText="1"/>
    </xf>
    <xf numFmtId="0" fontId="124" fillId="0" borderId="61" xfId="0" applyFont="1" applyBorder="1" applyAlignment="1">
      <alignment horizontal="center" vertical="center" textRotation="255" wrapText="1"/>
    </xf>
    <xf numFmtId="0" fontId="124" fillId="0" borderId="1" xfId="0" applyFont="1" applyBorder="1" applyAlignment="1">
      <alignment horizontal="center" vertical="center" textRotation="255" wrapText="1"/>
    </xf>
    <xf numFmtId="0" fontId="125" fillId="0" borderId="17" xfId="0" applyFont="1" applyBorder="1" applyAlignment="1">
      <alignment horizontal="center" vertical="center" wrapText="1"/>
    </xf>
    <xf numFmtId="0" fontId="126" fillId="0" borderId="22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74" xfId="0" applyFont="1" applyBorder="1" applyAlignment="1">
      <alignment horizontal="left" vertical="center" wrapText="1"/>
    </xf>
    <xf numFmtId="169" fontId="5" fillId="0" borderId="2" xfId="0" applyNumberFormat="1" applyFont="1" applyBorder="1" applyAlignment="1">
      <alignment horizontal="left" vertical="center" shrinkToFit="1"/>
    </xf>
    <xf numFmtId="169" fontId="5" fillId="0" borderId="37" xfId="0" applyNumberFormat="1" applyFont="1" applyBorder="1" applyAlignment="1">
      <alignment horizontal="left" vertical="center" shrinkToFit="1"/>
    </xf>
    <xf numFmtId="0" fontId="125" fillId="0" borderId="22" xfId="0" applyFont="1" applyBorder="1" applyAlignment="1">
      <alignment horizontal="center" vertical="center" wrapText="1"/>
    </xf>
    <xf numFmtId="0" fontId="125" fillId="0" borderId="7" xfId="0" applyFont="1" applyBorder="1" applyAlignment="1">
      <alignment horizontal="center" vertical="center" wrapText="1"/>
    </xf>
    <xf numFmtId="0" fontId="125" fillId="0" borderId="23" xfId="0" applyFont="1" applyBorder="1" applyAlignment="1">
      <alignment horizontal="center" vertical="center" wrapText="1"/>
    </xf>
    <xf numFmtId="0" fontId="121" fillId="0" borderId="22" xfId="0" applyFont="1" applyBorder="1" applyAlignment="1">
      <alignment horizontal="left" vertical="center" wrapText="1"/>
    </xf>
    <xf numFmtId="0" fontId="121" fillId="0" borderId="7" xfId="0" applyFont="1" applyBorder="1" applyAlignment="1">
      <alignment horizontal="left" vertical="center" wrapText="1"/>
    </xf>
    <xf numFmtId="0" fontId="121" fillId="0" borderId="74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wrapText="1"/>
    </xf>
    <xf numFmtId="0" fontId="121" fillId="0" borderId="63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shrinkToFit="1"/>
    </xf>
    <xf numFmtId="0" fontId="121" fillId="0" borderId="28" xfId="0" applyFont="1" applyBorder="1" applyAlignment="1">
      <alignment horizontal="center" vertical="center" wrapText="1"/>
    </xf>
    <xf numFmtId="0" fontId="121" fillId="0" borderId="0" xfId="0" applyFont="1" applyAlignment="1">
      <alignment horizontal="center" vertical="center" wrapText="1"/>
    </xf>
    <xf numFmtId="14" fontId="121" fillId="0" borderId="0" xfId="0" applyNumberFormat="1" applyFont="1" applyAlignment="1">
      <alignment horizontal="left" vertical="center" wrapText="1"/>
    </xf>
    <xf numFmtId="14" fontId="121" fillId="0" borderId="29" xfId="0" applyNumberFormat="1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 shrinkToFit="1"/>
    </xf>
    <xf numFmtId="0" fontId="132" fillId="0" borderId="0" xfId="0" applyFont="1" applyAlignment="1">
      <alignment horizontal="left" vertical="center" wrapText="1"/>
    </xf>
    <xf numFmtId="0" fontId="125" fillId="0" borderId="0" xfId="0" applyFont="1" applyAlignment="1">
      <alignment horizontal="center" vertical="center" wrapText="1"/>
    </xf>
    <xf numFmtId="0" fontId="128" fillId="0" borderId="22" xfId="0" applyFont="1" applyBorder="1" applyAlignment="1">
      <alignment horizontal="left" vertical="center" wrapText="1"/>
    </xf>
    <xf numFmtId="0" fontId="128" fillId="0" borderId="7" xfId="0" applyFont="1" applyBorder="1" applyAlignment="1">
      <alignment horizontal="left" vertical="center" wrapText="1"/>
    </xf>
    <xf numFmtId="0" fontId="128" fillId="0" borderId="74" xfId="0" applyFont="1" applyBorder="1" applyAlignment="1">
      <alignment horizontal="left" vertical="center" wrapText="1"/>
    </xf>
    <xf numFmtId="0" fontId="121" fillId="0" borderId="6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shrinkToFit="1"/>
    </xf>
    <xf numFmtId="0" fontId="122" fillId="0" borderId="1" xfId="0" applyFont="1" applyBorder="1" applyAlignment="1">
      <alignment horizontal="left" vertical="center" wrapText="1"/>
    </xf>
    <xf numFmtId="0" fontId="122" fillId="0" borderId="63" xfId="0" applyFont="1" applyBorder="1" applyAlignment="1">
      <alignment horizontal="left" vertical="center" wrapText="1"/>
    </xf>
    <xf numFmtId="0" fontId="126" fillId="0" borderId="0" xfId="0" applyFont="1" applyAlignment="1">
      <alignment horizontal="left" vertical="center"/>
    </xf>
    <xf numFmtId="0" fontId="132" fillId="0" borderId="0" xfId="0" applyFont="1" applyAlignment="1">
      <alignment horizontal="left" vertical="center" shrinkToFit="1"/>
    </xf>
    <xf numFmtId="0" fontId="121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center" shrinkToFit="1"/>
    </xf>
    <xf numFmtId="0" fontId="138" fillId="0" borderId="77" xfId="0" applyFont="1" applyBorder="1" applyAlignment="1">
      <alignment horizontal="center" vertical="center" wrapText="1"/>
    </xf>
    <xf numFmtId="0" fontId="138" fillId="0" borderId="78" xfId="0" applyFont="1" applyBorder="1" applyAlignment="1">
      <alignment horizontal="center" vertical="center" wrapText="1"/>
    </xf>
    <xf numFmtId="0" fontId="138" fillId="0" borderId="28" xfId="0" applyFont="1" applyBorder="1" applyAlignment="1">
      <alignment horizontal="center" vertical="center" wrapText="1"/>
    </xf>
    <xf numFmtId="0" fontId="138" fillId="0" borderId="0" xfId="0" applyFont="1" applyAlignment="1">
      <alignment horizontal="center" vertical="center" wrapText="1"/>
    </xf>
    <xf numFmtId="0" fontId="138" fillId="0" borderId="83" xfId="0" applyFont="1" applyBorder="1" applyAlignment="1">
      <alignment horizontal="center" vertical="center" wrapText="1"/>
    </xf>
    <xf numFmtId="0" fontId="138" fillId="0" borderId="13" xfId="0" applyFont="1" applyBorder="1" applyAlignment="1">
      <alignment horizontal="center" vertical="center" wrapText="1"/>
    </xf>
    <xf numFmtId="0" fontId="138" fillId="0" borderId="79" xfId="0" applyFont="1" applyBorder="1" applyAlignment="1">
      <alignment horizontal="left" vertical="center" wrapText="1"/>
    </xf>
    <xf numFmtId="0" fontId="138" fillId="0" borderId="78" xfId="0" applyFont="1" applyBorder="1" applyAlignment="1">
      <alignment horizontal="left" vertical="center" wrapText="1"/>
    </xf>
    <xf numFmtId="0" fontId="138" fillId="0" borderId="80" xfId="0" applyFont="1" applyBorder="1" applyAlignment="1">
      <alignment horizontal="left" vertical="center" wrapText="1"/>
    </xf>
    <xf numFmtId="0" fontId="138" fillId="0" borderId="2" xfId="0" applyFont="1" applyBorder="1" applyAlignment="1">
      <alignment horizontal="left" vertical="center" wrapText="1"/>
    </xf>
    <xf numFmtId="0" fontId="138" fillId="0" borderId="37" xfId="0" applyFont="1" applyBorder="1" applyAlignment="1">
      <alignment horizontal="left" vertical="center" wrapText="1"/>
    </xf>
    <xf numFmtId="0" fontId="138" fillId="0" borderId="81" xfId="0" applyFont="1" applyBorder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8" fillId="0" borderId="82" xfId="0" applyFont="1" applyBorder="1" applyAlignment="1">
      <alignment horizontal="left" vertical="center" wrapText="1"/>
    </xf>
    <xf numFmtId="0" fontId="138" fillId="0" borderId="84" xfId="0" applyFont="1" applyBorder="1" applyAlignment="1">
      <alignment horizontal="left" vertical="center" wrapText="1"/>
    </xf>
    <xf numFmtId="0" fontId="138" fillId="0" borderId="13" xfId="0" applyFont="1" applyBorder="1" applyAlignment="1">
      <alignment horizontal="left" vertical="center" wrapText="1"/>
    </xf>
    <xf numFmtId="0" fontId="138" fillId="0" borderId="14" xfId="0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 wrapText="1"/>
    </xf>
    <xf numFmtId="0" fontId="118" fillId="0" borderId="8" xfId="0" applyFont="1" applyBorder="1" applyAlignment="1">
      <alignment horizontal="center" vertical="center" wrapText="1"/>
    </xf>
    <xf numFmtId="0" fontId="125" fillId="0" borderId="25" xfId="0" applyFont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wrapText="1"/>
    </xf>
    <xf numFmtId="0" fontId="125" fillId="0" borderId="76" xfId="0" applyFont="1" applyBorder="1" applyAlignment="1">
      <alignment horizontal="center" vertical="center" wrapText="1"/>
    </xf>
    <xf numFmtId="0" fontId="125" fillId="0" borderId="27" xfId="0" applyFont="1" applyBorder="1" applyAlignment="1">
      <alignment horizontal="center" vertical="center" wrapText="1"/>
    </xf>
    <xf numFmtId="0" fontId="138" fillId="0" borderId="85" xfId="0" applyFont="1" applyBorder="1" applyAlignment="1">
      <alignment horizontal="center" vertical="center" wrapText="1"/>
    </xf>
    <xf numFmtId="0" fontId="138" fillId="0" borderId="7" xfId="0" applyFont="1" applyBorder="1" applyAlignment="1">
      <alignment horizontal="center" vertical="center" wrapText="1"/>
    </xf>
    <xf numFmtId="0" fontId="138" fillId="0" borderId="22" xfId="0" applyFont="1" applyBorder="1" applyAlignment="1">
      <alignment horizontal="left" vertical="center" wrapText="1"/>
    </xf>
    <xf numFmtId="0" fontId="138" fillId="0" borderId="7" xfId="0" applyFont="1" applyBorder="1" applyAlignment="1">
      <alignment horizontal="left" vertical="center" wrapText="1"/>
    </xf>
    <xf numFmtId="0" fontId="138" fillId="0" borderId="23" xfId="0" applyFont="1" applyBorder="1" applyAlignment="1">
      <alignment horizontal="left" vertical="center" wrapText="1"/>
    </xf>
    <xf numFmtId="0" fontId="138" fillId="0" borderId="81" xfId="0" quotePrefix="1" applyFont="1" applyBorder="1" applyAlignment="1">
      <alignment horizontal="left" vertical="center" wrapText="1"/>
    </xf>
    <xf numFmtId="0" fontId="138" fillId="0" borderId="0" xfId="0" quotePrefix="1" applyFont="1" applyAlignment="1">
      <alignment horizontal="left" vertical="center" wrapText="1"/>
    </xf>
    <xf numFmtId="0" fontId="138" fillId="0" borderId="82" xfId="0" quotePrefix="1" applyFont="1" applyBorder="1" applyAlignment="1">
      <alignment horizontal="left" vertical="center" wrapText="1"/>
    </xf>
    <xf numFmtId="0" fontId="138" fillId="0" borderId="86" xfId="0" applyFont="1" applyBorder="1" applyAlignment="1">
      <alignment horizontal="center" vertical="center" wrapText="1"/>
    </xf>
    <xf numFmtId="0" fontId="138" fillId="0" borderId="87" xfId="0" applyFont="1" applyBorder="1" applyAlignment="1">
      <alignment horizontal="center" vertical="center" wrapText="1"/>
    </xf>
    <xf numFmtId="0" fontId="138" fillId="0" borderId="88" xfId="0" applyFont="1" applyBorder="1" applyAlignment="1">
      <alignment horizontal="left" vertical="center" wrapText="1"/>
    </xf>
    <xf numFmtId="0" fontId="138" fillId="0" borderId="87" xfId="0" applyFont="1" applyBorder="1" applyAlignment="1">
      <alignment horizontal="left" vertical="center" wrapText="1"/>
    </xf>
    <xf numFmtId="0" fontId="138" fillId="0" borderId="89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8" fillId="0" borderId="63" xfId="0" applyFont="1" applyBorder="1" applyAlignment="1">
      <alignment horizontal="left" vertical="center" wrapText="1"/>
    </xf>
    <xf numFmtId="0" fontId="135" fillId="0" borderId="25" xfId="2634" applyFont="1" applyFill="1" applyBorder="1" applyAlignment="1">
      <alignment horizontal="left" vertical="center"/>
    </xf>
    <xf numFmtId="0" fontId="135" fillId="0" borderId="26" xfId="2634" applyFont="1" applyFill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133" fillId="0" borderId="26" xfId="2634" applyFont="1" applyFill="1" applyBorder="1" applyAlignment="1">
      <alignment horizontal="center" vertical="center"/>
    </xf>
    <xf numFmtId="164" fontId="56" fillId="0" borderId="26" xfId="0" applyNumberFormat="1" applyFont="1" applyBorder="1" applyAlignment="1">
      <alignment horizontal="center" vertical="center" shrinkToFit="1"/>
    </xf>
    <xf numFmtId="164" fontId="56" fillId="0" borderId="2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6" fillId="0" borderId="0" xfId="2792" applyFont="1" applyFill="1" applyBorder="1" applyAlignment="1">
      <alignment horizontal="center" vertical="center" shrinkToFit="1"/>
    </xf>
    <xf numFmtId="164" fontId="6" fillId="0" borderId="29" xfId="2792" applyFont="1" applyFill="1" applyBorder="1" applyAlignment="1">
      <alignment horizontal="center" vertical="center" shrinkToFit="1"/>
    </xf>
    <xf numFmtId="170" fontId="0" fillId="0" borderId="91" xfId="0" applyNumberForma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164" fontId="0" fillId="0" borderId="91" xfId="0" applyNumberFormat="1" applyBorder="1" applyAlignment="1">
      <alignment horizontal="center" vertical="center"/>
    </xf>
    <xf numFmtId="0" fontId="65" fillId="0" borderId="91" xfId="0" applyFont="1" applyBorder="1" applyAlignment="1">
      <alignment horizontal="center" vertical="center"/>
    </xf>
    <xf numFmtId="164" fontId="6" fillId="0" borderId="91" xfId="2792" applyFont="1" applyFill="1" applyBorder="1" applyAlignment="1">
      <alignment horizontal="center" vertical="center" shrinkToFit="1"/>
    </xf>
    <xf numFmtId="164" fontId="6" fillId="0" borderId="92" xfId="2792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0" fontId="110" fillId="0" borderId="95" xfId="0" applyFont="1" applyBorder="1" applyAlignment="1">
      <alignment horizontal="left" vertical="center"/>
    </xf>
    <xf numFmtId="0" fontId="110" fillId="0" borderId="96" xfId="0" applyFont="1" applyBorder="1" applyAlignment="1">
      <alignment horizontal="left" vertical="center"/>
    </xf>
    <xf numFmtId="0" fontId="0" fillId="0" borderId="96" xfId="0" applyBorder="1" applyAlignment="1">
      <alignment horizontal="center" vertical="center"/>
    </xf>
    <xf numFmtId="0" fontId="65" fillId="0" borderId="96" xfId="0" applyFont="1" applyBorder="1" applyAlignment="1">
      <alignment horizontal="center" vertical="center"/>
    </xf>
    <xf numFmtId="174" fontId="6" fillId="0" borderId="96" xfId="2792" applyNumberFormat="1" applyFont="1" applyFill="1" applyBorder="1" applyAlignment="1">
      <alignment horizontal="center" vertical="center" shrinkToFit="1"/>
    </xf>
    <xf numFmtId="174" fontId="6" fillId="0" borderId="97" xfId="2792" applyNumberFormat="1" applyFont="1" applyFill="1" applyBorder="1" applyAlignment="1">
      <alignment horizontal="center" vertical="center" shrinkToFit="1"/>
    </xf>
    <xf numFmtId="0" fontId="0" fillId="0" borderId="96" xfId="0" applyBorder="1" applyAlignment="1">
      <alignment horizontal="center" vertical="center" shrinkToFit="1"/>
    </xf>
    <xf numFmtId="164" fontId="6" fillId="0" borderId="96" xfId="2792" applyFont="1" applyFill="1" applyBorder="1" applyAlignment="1">
      <alignment horizontal="center" vertical="center" shrinkToFit="1"/>
    </xf>
    <xf numFmtId="164" fontId="6" fillId="0" borderId="97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164" fontId="6" fillId="0" borderId="16" xfId="2792" applyFont="1" applyFill="1" applyBorder="1" applyAlignment="1">
      <alignment horizontal="center" vertical="center" shrinkToFit="1"/>
    </xf>
    <xf numFmtId="164" fontId="6" fillId="0" borderId="94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110" fillId="0" borderId="90" xfId="0" applyFont="1" applyBorder="1" applyAlignment="1">
      <alignment horizontal="left" vertical="center"/>
    </xf>
    <xf numFmtId="0" fontId="110" fillId="0" borderId="91" xfId="0" applyFont="1" applyBorder="1" applyAlignment="1">
      <alignment horizontal="left" vertical="center"/>
    </xf>
    <xf numFmtId="164" fontId="56" fillId="0" borderId="91" xfId="2792" applyFont="1" applyFill="1" applyBorder="1" applyAlignment="1">
      <alignment horizontal="center" vertical="center" shrinkToFit="1"/>
    </xf>
    <xf numFmtId="164" fontId="56" fillId="0" borderId="92" xfId="2792" applyFont="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0" fontId="78" fillId="0" borderId="98" xfId="0" applyFont="1" applyBorder="1" applyAlignment="1">
      <alignment horizontal="center" vertical="center"/>
    </xf>
    <xf numFmtId="0" fontId="78" fillId="0" borderId="99" xfId="0" applyFont="1" applyBorder="1" applyAlignment="1">
      <alignment horizontal="center" vertical="center"/>
    </xf>
    <xf numFmtId="164" fontId="56" fillId="0" borderId="99" xfId="2792" applyFont="1" applyFill="1" applyBorder="1" applyAlignment="1">
      <alignment horizontal="center" vertical="center" shrinkToFit="1"/>
    </xf>
    <xf numFmtId="164" fontId="56" fillId="0" borderId="100" xfId="2792" applyFont="1" applyFill="1" applyBorder="1" applyAlignment="1">
      <alignment horizontal="center" vertical="center" shrinkToFit="1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164" fontId="6" fillId="0" borderId="96" xfId="2792" applyFont="1" applyFill="1" applyBorder="1" applyAlignment="1">
      <alignment horizontal="right" vertical="center" shrinkToFit="1"/>
    </xf>
    <xf numFmtId="164" fontId="6" fillId="0" borderId="97" xfId="2792" applyFont="1" applyFill="1" applyBorder="1" applyAlignment="1">
      <alignment horizontal="right" vertical="center" shrinkToFit="1"/>
    </xf>
    <xf numFmtId="164" fontId="56" fillId="0" borderId="96" xfId="2792" applyFont="1" applyFill="1" applyBorder="1" applyAlignment="1">
      <alignment horizontal="center" vertical="center" shrinkToFit="1"/>
    </xf>
    <xf numFmtId="164" fontId="56" fillId="0" borderId="97" xfId="2792" applyFont="1" applyFill="1" applyBorder="1" applyAlignment="1">
      <alignment horizontal="center" vertical="center" shrinkToFit="1"/>
    </xf>
  </cellXfs>
  <cellStyles count="3114">
    <cellStyle name=" " xfId="1" xr:uid="{00000000-0005-0000-0000-000000000000}"/>
    <cellStyle name=" _97연말" xfId="2" xr:uid="{00000000-0005-0000-0000-000001000000}"/>
    <cellStyle name=" _97연말1" xfId="3" xr:uid="{00000000-0005-0000-0000-000002000000}"/>
    <cellStyle name=" _Book1" xfId="4" xr:uid="{00000000-0005-0000-0000-000003000000}"/>
    <cellStyle name="_01토공" xfId="5" xr:uid="{00000000-0005-0000-0000-000004000000}"/>
    <cellStyle name="_01토공_00-설계서,원가계산,내역서" xfId="6" xr:uid="{00000000-0005-0000-0000-000005000000}"/>
    <cellStyle name="_01토공_라멘교 토공" xfId="7" xr:uid="{00000000-0005-0000-0000-000006000000}"/>
    <cellStyle name="_01토공_라멘교 토공_00-설계서,원가계산,내역서" xfId="8" xr:uid="{00000000-0005-0000-0000-000007000000}"/>
    <cellStyle name="_01토공_철거" xfId="9" xr:uid="{00000000-0005-0000-0000-000008000000}"/>
    <cellStyle name="_01토공_철거_00-설계서,원가계산,내역서" xfId="10" xr:uid="{00000000-0005-0000-0000-000009000000}"/>
    <cellStyle name="_01토공_철거_라멘교 토공" xfId="11" xr:uid="{00000000-0005-0000-0000-00000A000000}"/>
    <cellStyle name="_01토공_철거_라멘교 토공_00-설계서,원가계산,내역서" xfId="12" xr:uid="{00000000-0005-0000-0000-00000B000000}"/>
    <cellStyle name="_Book1" xfId="13" xr:uid="{00000000-0005-0000-0000-00000C000000}"/>
    <cellStyle name="_CM공문양식(품의,협조,대외공문)" xfId="14" xr:uid="{00000000-0005-0000-0000-00000D000000}"/>
    <cellStyle name="_CM양식(대외공문,협조전,품의서)" xfId="15" xr:uid="{00000000-0005-0000-0000-00000E000000}"/>
    <cellStyle name="_FCST (2)" xfId="16" xr:uid="{00000000-0005-0000-0000-00000F000000}"/>
    <cellStyle name="_RE" xfId="17" xr:uid="{00000000-0005-0000-0000-000010000000}"/>
    <cellStyle name="_갑지(0127)" xfId="18" xr:uid="{00000000-0005-0000-0000-000011000000}"/>
    <cellStyle name="_공사요율표-031008" xfId="19" xr:uid="{00000000-0005-0000-0000-000012000000}"/>
    <cellStyle name="_공양식(레인보우스케이프)" xfId="20" xr:uid="{00000000-0005-0000-0000-000013000000}"/>
    <cellStyle name="_관급-(수배전반)" xfId="21" xr:uid="{00000000-0005-0000-0000-000014000000}"/>
    <cellStyle name="_내역서" xfId="22" xr:uid="{00000000-0005-0000-0000-000015000000}"/>
    <cellStyle name="_능말폐기물내역(2단계-총괄)" xfId="23" xr:uid="{00000000-0005-0000-0000-000016000000}"/>
    <cellStyle name="_대구역사약전내역(자재부제출)" xfId="24" xr:uid="{00000000-0005-0000-0000-000017000000}"/>
    <cellStyle name="_대원공원설계서" xfId="25" xr:uid="{00000000-0005-0000-0000-000018000000}"/>
    <cellStyle name="_대원공원설계서_00-설계서,원가계산,내역서" xfId="26" xr:uid="{00000000-0005-0000-0000-000019000000}"/>
    <cellStyle name="_대원공원설계서_내역서-최종0223" xfId="27" xr:uid="{00000000-0005-0000-0000-00001A000000}"/>
    <cellStyle name="_대원공원설계서_내역서-최종0223_00-설계서,원가계산,내역서" xfId="28" xr:uid="{00000000-0005-0000-0000-00001B000000}"/>
    <cellStyle name="_대원공원설계서_내역서-최종0223_설계서-1" xfId="29" xr:uid="{00000000-0005-0000-0000-00001C000000}"/>
    <cellStyle name="_대원공원설계서_내역서-최종0223_설계서-1_00-설계서,원가계산,내역서" xfId="30" xr:uid="{00000000-0005-0000-0000-00001D000000}"/>
    <cellStyle name="_대원공원설계서_내역서-최종0223_진해자은수량산출서(단지내)" xfId="31" xr:uid="{00000000-0005-0000-0000-00001E000000}"/>
    <cellStyle name="_대원공원설계서_내역서-최종0223_진해자은수량산출서(단지내)_00-설계서,원가계산,내역서" xfId="32" xr:uid="{00000000-0005-0000-0000-00001F000000}"/>
    <cellStyle name="_대원공원설계서_내역서-최종0223_진해자은수량산출서(단지내)_기초산출표-56-128-최종" xfId="33" xr:uid="{00000000-0005-0000-0000-000020000000}"/>
    <cellStyle name="_대원공원설계서_내역서-최종0223_진해자은수량산출서(단지내)_기초산출표-56-128-최종_00-설계서,원가계산,내역서" xfId="34" xr:uid="{00000000-0005-0000-0000-000021000000}"/>
    <cellStyle name="_대원공원설계서_내역서-최종0223_진해자은수량산출서(단지내)_기초산출표-56-128-최종_설계서-1" xfId="35" xr:uid="{00000000-0005-0000-0000-000022000000}"/>
    <cellStyle name="_대원공원설계서_내역서-최종0223_진해자은수량산출서(단지내)_기초산출표-56-128-최종_설계서-1_00-설계서,원가계산,내역서" xfId="36" xr:uid="{00000000-0005-0000-0000-000023000000}"/>
    <cellStyle name="_대원공원설계서_내역서-최종0223_진해자은수량산출서(단지내)_설계서-1" xfId="37" xr:uid="{00000000-0005-0000-0000-000024000000}"/>
    <cellStyle name="_대원공원설계서_내역서-최종0223_진해자은수량산출서(단지내)_설계서-1_00-설계서,원가계산,내역서" xfId="38" xr:uid="{00000000-0005-0000-0000-000025000000}"/>
    <cellStyle name="_대원공원설계서_내역서-최종0223_진해자은수량산출서(단지내)_취합" xfId="39" xr:uid="{00000000-0005-0000-0000-000026000000}"/>
    <cellStyle name="_대원공원설계서_내역서-최종0223_진해자은수량산출서(단지내)_취합_00-설계서,원가계산,내역서" xfId="40" xr:uid="{00000000-0005-0000-0000-000027000000}"/>
    <cellStyle name="_대원공원설계서_내역서-최종0223_진해자은수량산출서(단지내)_취합_설계서-1" xfId="41" xr:uid="{00000000-0005-0000-0000-000028000000}"/>
    <cellStyle name="_대원공원설계서_내역서-최종0223_진해자은수량산출서(단지내)_취합_설계서-1_00-설계서,원가계산,내역서" xfId="42" xr:uid="{00000000-0005-0000-0000-000029000000}"/>
    <cellStyle name="_대원공원설계서_설계서-1" xfId="43" xr:uid="{00000000-0005-0000-0000-00002A000000}"/>
    <cellStyle name="_대원공원설계서_설계서-1_00-설계서,원가계산,내역서" xfId="44" xr:uid="{00000000-0005-0000-0000-00002B000000}"/>
    <cellStyle name="_대원공원설계서_율동자연공원내 화장실 보수 및 도색공사" xfId="45" xr:uid="{00000000-0005-0000-0000-00002C000000}"/>
    <cellStyle name="_대원공원설계서_율동자연공원내 화장실 보수 및 도색공사_00-설계서,원가계산,내역서" xfId="46" xr:uid="{00000000-0005-0000-0000-00002D000000}"/>
    <cellStyle name="_대원공원설계서_율동자연공원내 화장실 보수 및 도색공사_내역서-최종0223" xfId="47" xr:uid="{00000000-0005-0000-0000-00002E000000}"/>
    <cellStyle name="_대원공원설계서_율동자연공원내 화장실 보수 및 도색공사_내역서-최종0223_00-설계서,원가계산,내역서" xfId="48" xr:uid="{00000000-0005-0000-0000-00002F000000}"/>
    <cellStyle name="_대원공원설계서_율동자연공원내 화장실 보수 및 도색공사_내역서-최종0223_설계서-1" xfId="49" xr:uid="{00000000-0005-0000-0000-000030000000}"/>
    <cellStyle name="_대원공원설계서_율동자연공원내 화장실 보수 및 도색공사_내역서-최종0223_설계서-1_00-설계서,원가계산,내역서" xfId="50" xr:uid="{00000000-0005-0000-0000-000031000000}"/>
    <cellStyle name="_대원공원설계서_율동자연공원내 화장실 보수 및 도색공사_내역서-최종0223_진해자은수량산출서(단지내)" xfId="51" xr:uid="{00000000-0005-0000-0000-000032000000}"/>
    <cellStyle name="_대원공원설계서_율동자연공원내 화장실 보수 및 도색공사_내역서-최종0223_진해자은수량산출서(단지내)_00-설계서,원가계산,내역서" xfId="52" xr:uid="{00000000-0005-0000-0000-000033000000}"/>
    <cellStyle name="_대원공원설계서_율동자연공원내 화장실 보수 및 도색공사_내역서-최종0223_진해자은수량산출서(단지내)_기초산출표-56-128-최종" xfId="53" xr:uid="{00000000-0005-0000-0000-000034000000}"/>
    <cellStyle name="_대원공원설계서_율동자연공원내 화장실 보수 및 도색공사_내역서-최종0223_진해자은수량산출서(단지내)_기초산출표-56-128-최종_00-설계서,원가계산,내역서" xfId="54" xr:uid="{00000000-0005-0000-0000-000035000000}"/>
    <cellStyle name="_대원공원설계서_율동자연공원내 화장실 보수 및 도색공사_내역서-최종0223_진해자은수량산출서(단지내)_기초산출표-56-128-최종_설계서-1" xfId="55" xr:uid="{00000000-0005-0000-0000-000036000000}"/>
    <cellStyle name="_대원공원설계서_율동자연공원내 화장실 보수 및 도색공사_내역서-최종0223_진해자은수량산출서(단지내)_기초산출표-56-128-최종_설계서-1_00-설계서,원가계산,내역서" xfId="56" xr:uid="{00000000-0005-0000-0000-000037000000}"/>
    <cellStyle name="_대원공원설계서_율동자연공원내 화장실 보수 및 도색공사_내역서-최종0223_진해자은수량산출서(단지내)_설계서-1" xfId="57" xr:uid="{00000000-0005-0000-0000-000038000000}"/>
    <cellStyle name="_대원공원설계서_율동자연공원내 화장실 보수 및 도색공사_내역서-최종0223_진해자은수량산출서(단지내)_설계서-1_00-설계서,원가계산,내역서" xfId="58" xr:uid="{00000000-0005-0000-0000-000039000000}"/>
    <cellStyle name="_대원공원설계서_율동자연공원내 화장실 보수 및 도색공사_내역서-최종0223_진해자은수량산출서(단지내)_취합" xfId="59" xr:uid="{00000000-0005-0000-0000-00003A000000}"/>
    <cellStyle name="_대원공원설계서_율동자연공원내 화장실 보수 및 도색공사_내역서-최종0223_진해자은수량산출서(단지내)_취합_00-설계서,원가계산,내역서" xfId="60" xr:uid="{00000000-0005-0000-0000-00003B000000}"/>
    <cellStyle name="_대원공원설계서_율동자연공원내 화장실 보수 및 도색공사_내역서-최종0223_진해자은수량산출서(단지내)_취합_설계서-1" xfId="61" xr:uid="{00000000-0005-0000-0000-00003C000000}"/>
    <cellStyle name="_대원공원설계서_율동자연공원내 화장실 보수 및 도색공사_내역서-최종0223_진해자은수량산출서(단지내)_취합_설계서-1_00-설계서,원가계산,내역서" xfId="62" xr:uid="{00000000-0005-0000-0000-00003D000000}"/>
    <cellStyle name="_대원공원설계서_율동자연공원내 화장실 보수 및 도색공사_설계서-1" xfId="63" xr:uid="{00000000-0005-0000-0000-00003E000000}"/>
    <cellStyle name="_대원공원설계서_율동자연공원내 화장실 보수 및 도색공사_설계서-1_00-설계서,원가계산,내역서" xfId="64" xr:uid="{00000000-0005-0000-0000-00003F000000}"/>
    <cellStyle name="_대원공원설계서_율동자연공원내 화장실 보수 및 도색공사_진해자은수량산출서(단지내)" xfId="65" xr:uid="{00000000-0005-0000-0000-000040000000}"/>
    <cellStyle name="_대원공원설계서_율동자연공원내 화장실 보수 및 도색공사_진해자은수량산출서(단지내)_00-설계서,원가계산,내역서" xfId="66" xr:uid="{00000000-0005-0000-0000-000041000000}"/>
    <cellStyle name="_대원공원설계서_율동자연공원내 화장실 보수 및 도색공사_진해자은수량산출서(단지내)_기초산출표-56-128-최종" xfId="67" xr:uid="{00000000-0005-0000-0000-000042000000}"/>
    <cellStyle name="_대원공원설계서_율동자연공원내 화장실 보수 및 도색공사_진해자은수량산출서(단지내)_기초산출표-56-128-최종_00-설계서,원가계산,내역서" xfId="68" xr:uid="{00000000-0005-0000-0000-000043000000}"/>
    <cellStyle name="_대원공원설계서_율동자연공원내 화장실 보수 및 도색공사_진해자은수량산출서(단지내)_기초산출표-56-128-최종_설계서-1" xfId="69" xr:uid="{00000000-0005-0000-0000-000044000000}"/>
    <cellStyle name="_대원공원설계서_율동자연공원내 화장실 보수 및 도색공사_진해자은수량산출서(단지내)_기초산출표-56-128-최종_설계서-1_00-설계서,원가계산,내역서" xfId="70" xr:uid="{00000000-0005-0000-0000-000045000000}"/>
    <cellStyle name="_대원공원설계서_율동자연공원내 화장실 보수 및 도색공사_진해자은수량산출서(단지내)_설계서-1" xfId="71" xr:uid="{00000000-0005-0000-0000-000046000000}"/>
    <cellStyle name="_대원공원설계서_율동자연공원내 화장실 보수 및 도색공사_진해자은수량산출서(단지내)_설계서-1_00-설계서,원가계산,내역서" xfId="72" xr:uid="{00000000-0005-0000-0000-000047000000}"/>
    <cellStyle name="_대원공원설계서_율동자연공원내 화장실 보수 및 도색공사_진해자은수량산출서(단지내)_취합" xfId="73" xr:uid="{00000000-0005-0000-0000-000048000000}"/>
    <cellStyle name="_대원공원설계서_율동자연공원내 화장실 보수 및 도색공사_진해자은수량산출서(단지내)_취합_00-설계서,원가계산,내역서" xfId="74" xr:uid="{00000000-0005-0000-0000-000049000000}"/>
    <cellStyle name="_대원공원설계서_율동자연공원내 화장실 보수 및 도색공사_진해자은수량산출서(단지내)_취합_설계서-1" xfId="75" xr:uid="{00000000-0005-0000-0000-00004A000000}"/>
    <cellStyle name="_대원공원설계서_율동자연공원내 화장실 보수 및 도색공사_진해자은수량산출서(단지내)_취합_설계서-1_00-설계서,원가계산,내역서" xfId="76" xr:uid="{00000000-0005-0000-0000-00004B000000}"/>
    <cellStyle name="_대원공원설계서_율동자연공원내 휴게편의점 도색작업-할증-천정면적추가" xfId="77" xr:uid="{00000000-0005-0000-0000-00004C000000}"/>
    <cellStyle name="_대원공원설계서_율동자연공원내 휴게편의점 도색작업-할증-천정면적추가_00-설계서,원가계산,내역서" xfId="78" xr:uid="{00000000-0005-0000-0000-00004D000000}"/>
    <cellStyle name="_대원공원설계서_율동자연공원내 휴게편의점 도색작업-할증-천정면적추가_내역서-최종0223" xfId="79" xr:uid="{00000000-0005-0000-0000-00004E000000}"/>
    <cellStyle name="_대원공원설계서_율동자연공원내 휴게편의점 도색작업-할증-천정면적추가_내역서-최종0223_00-설계서,원가계산,내역서" xfId="80" xr:uid="{00000000-0005-0000-0000-00004F000000}"/>
    <cellStyle name="_대원공원설계서_율동자연공원내 휴게편의점 도색작업-할증-천정면적추가_내역서-최종0223_설계서-1" xfId="81" xr:uid="{00000000-0005-0000-0000-000050000000}"/>
    <cellStyle name="_대원공원설계서_율동자연공원내 휴게편의점 도색작업-할증-천정면적추가_내역서-최종0223_설계서-1_00-설계서,원가계산,내역서" xfId="82" xr:uid="{00000000-0005-0000-0000-000051000000}"/>
    <cellStyle name="_대원공원설계서_율동자연공원내 휴게편의점 도색작업-할증-천정면적추가_내역서-최종0223_진해자은수량산출서(단지내)" xfId="83" xr:uid="{00000000-0005-0000-0000-000052000000}"/>
    <cellStyle name="_대원공원설계서_율동자연공원내 휴게편의점 도색작업-할증-천정면적추가_내역서-최종0223_진해자은수량산출서(단지내)_00-설계서,원가계산,내역서" xfId="84" xr:uid="{00000000-0005-0000-0000-000053000000}"/>
    <cellStyle name="_대원공원설계서_율동자연공원내 휴게편의점 도색작업-할증-천정면적추가_내역서-최종0223_진해자은수량산출서(단지내)_기초산출표-56-128-최종" xfId="85" xr:uid="{00000000-0005-0000-0000-000054000000}"/>
    <cellStyle name="_대원공원설계서_율동자연공원내 휴게편의점 도색작업-할증-천정면적추가_내역서-최종0223_진해자은수량산출서(단지내)_기초산출표-56-128-최종_00-설계서,원가계산,내역서" xfId="86" xr:uid="{00000000-0005-0000-0000-000055000000}"/>
    <cellStyle name="_대원공원설계서_율동자연공원내 휴게편의점 도색작업-할증-천정면적추가_내역서-최종0223_진해자은수량산출서(단지내)_기초산출표-56-128-최종_설계서-1" xfId="87" xr:uid="{00000000-0005-0000-0000-000056000000}"/>
    <cellStyle name="_대원공원설계서_율동자연공원내 휴게편의점 도색작업-할증-천정면적추가_내역서-최종0223_진해자은수량산출서(단지내)_기초산출표-56-128-최종_설계서-1_00-설계서,원가계산,내역서" xfId="88" xr:uid="{00000000-0005-0000-0000-000057000000}"/>
    <cellStyle name="_대원공원설계서_율동자연공원내 휴게편의점 도색작업-할증-천정면적추가_내역서-최종0223_진해자은수량산출서(단지내)_설계서-1" xfId="89" xr:uid="{00000000-0005-0000-0000-000058000000}"/>
    <cellStyle name="_대원공원설계서_율동자연공원내 휴게편의점 도색작업-할증-천정면적추가_내역서-최종0223_진해자은수량산출서(단지내)_설계서-1_00-설계서,원가계산,내역서" xfId="90" xr:uid="{00000000-0005-0000-0000-000059000000}"/>
    <cellStyle name="_대원공원설계서_율동자연공원내 휴게편의점 도색작업-할증-천정면적추가_내역서-최종0223_진해자은수량산출서(단지내)_취합" xfId="91" xr:uid="{00000000-0005-0000-0000-00005A000000}"/>
    <cellStyle name="_대원공원설계서_율동자연공원내 휴게편의점 도색작업-할증-천정면적추가_내역서-최종0223_진해자은수량산출서(단지내)_취합_00-설계서,원가계산,내역서" xfId="92" xr:uid="{00000000-0005-0000-0000-00005B000000}"/>
    <cellStyle name="_대원공원설계서_율동자연공원내 휴게편의점 도색작업-할증-천정면적추가_내역서-최종0223_진해자은수량산출서(단지내)_취합_설계서-1" xfId="93" xr:uid="{00000000-0005-0000-0000-00005C000000}"/>
    <cellStyle name="_대원공원설계서_율동자연공원내 휴게편의점 도색작업-할증-천정면적추가_내역서-최종0223_진해자은수량산출서(단지내)_취합_설계서-1_00-설계서,원가계산,내역서" xfId="94" xr:uid="{00000000-0005-0000-0000-00005D000000}"/>
    <cellStyle name="_대원공원설계서_율동자연공원내 휴게편의점 도색작업-할증-천정면적추가_설계서-1" xfId="95" xr:uid="{00000000-0005-0000-0000-00005E000000}"/>
    <cellStyle name="_대원공원설계서_율동자연공원내 휴게편의점 도색작업-할증-천정면적추가_설계서-1_00-설계서,원가계산,내역서" xfId="96" xr:uid="{00000000-0005-0000-0000-00005F000000}"/>
    <cellStyle name="_대원공원설계서_율동자연공원내 휴게편의점 도색작업-할증-천정면적추가_진해자은수량산출서(단지내)" xfId="97" xr:uid="{00000000-0005-0000-0000-000060000000}"/>
    <cellStyle name="_대원공원설계서_율동자연공원내 휴게편의점 도색작업-할증-천정면적추가_진해자은수량산출서(단지내)_00-설계서,원가계산,내역서" xfId="98" xr:uid="{00000000-0005-0000-0000-000061000000}"/>
    <cellStyle name="_대원공원설계서_율동자연공원내 휴게편의점 도색작업-할증-천정면적추가_진해자은수량산출서(단지내)_기초산출표-56-128-최종" xfId="99" xr:uid="{00000000-0005-0000-0000-000062000000}"/>
    <cellStyle name="_대원공원설계서_율동자연공원내 휴게편의점 도색작업-할증-천정면적추가_진해자은수량산출서(단지내)_기초산출표-56-128-최종_00-설계서,원가계산,내역서" xfId="100" xr:uid="{00000000-0005-0000-0000-000063000000}"/>
    <cellStyle name="_대원공원설계서_율동자연공원내 휴게편의점 도색작업-할증-천정면적추가_진해자은수량산출서(단지내)_기초산출표-56-128-최종_설계서-1" xfId="101" xr:uid="{00000000-0005-0000-0000-000064000000}"/>
    <cellStyle name="_대원공원설계서_율동자연공원내 휴게편의점 도색작업-할증-천정면적추가_진해자은수량산출서(단지내)_기초산출표-56-128-최종_설계서-1_00-설계서,원가계산,내역서" xfId="102" xr:uid="{00000000-0005-0000-0000-000065000000}"/>
    <cellStyle name="_대원공원설계서_율동자연공원내 휴게편의점 도색작업-할증-천정면적추가_진해자은수량산출서(단지내)_설계서-1" xfId="103" xr:uid="{00000000-0005-0000-0000-000066000000}"/>
    <cellStyle name="_대원공원설계서_율동자연공원내 휴게편의점 도색작업-할증-천정면적추가_진해자은수량산출서(단지내)_설계서-1_00-설계서,원가계산,내역서" xfId="104" xr:uid="{00000000-0005-0000-0000-000067000000}"/>
    <cellStyle name="_대원공원설계서_율동자연공원내 휴게편의점 도색작업-할증-천정면적추가_진해자은수량산출서(단지내)_취합" xfId="105" xr:uid="{00000000-0005-0000-0000-000068000000}"/>
    <cellStyle name="_대원공원설계서_율동자연공원내 휴게편의점 도색작업-할증-천정면적추가_진해자은수량산출서(단지내)_취합_00-설계서,원가계산,내역서" xfId="106" xr:uid="{00000000-0005-0000-0000-000069000000}"/>
    <cellStyle name="_대원공원설계서_율동자연공원내 휴게편의점 도색작업-할증-천정면적추가_진해자은수량산출서(단지내)_취합_설계서-1" xfId="107" xr:uid="{00000000-0005-0000-0000-00006A000000}"/>
    <cellStyle name="_대원공원설계서_율동자연공원내 휴게편의점 도색작업-할증-천정면적추가_진해자은수량산출서(단지내)_취합_설계서-1_00-설계서,원가계산,내역서" xfId="108" xr:uid="{00000000-0005-0000-0000-00006B000000}"/>
    <cellStyle name="_대원공원설계서_진해자은수량산출서(단지내)" xfId="109" xr:uid="{00000000-0005-0000-0000-00006C000000}"/>
    <cellStyle name="_대원공원설계서_진해자은수량산출서(단지내)_00-설계서,원가계산,내역서" xfId="110" xr:uid="{00000000-0005-0000-0000-00006D000000}"/>
    <cellStyle name="_대원공원설계서_진해자은수량산출서(단지내)_기초산출표-56-128-최종" xfId="111" xr:uid="{00000000-0005-0000-0000-00006E000000}"/>
    <cellStyle name="_대원공원설계서_진해자은수량산출서(단지내)_기초산출표-56-128-최종_00-설계서,원가계산,내역서" xfId="112" xr:uid="{00000000-0005-0000-0000-00006F000000}"/>
    <cellStyle name="_대원공원설계서_진해자은수량산출서(단지내)_기초산출표-56-128-최종_설계서-1" xfId="113" xr:uid="{00000000-0005-0000-0000-000070000000}"/>
    <cellStyle name="_대원공원설계서_진해자은수량산출서(단지내)_기초산출표-56-128-최종_설계서-1_00-설계서,원가계산,내역서" xfId="114" xr:uid="{00000000-0005-0000-0000-000071000000}"/>
    <cellStyle name="_대원공원설계서_진해자은수량산출서(단지내)_설계서-1" xfId="115" xr:uid="{00000000-0005-0000-0000-000072000000}"/>
    <cellStyle name="_대원공원설계서_진해자은수량산출서(단지내)_설계서-1_00-설계서,원가계산,내역서" xfId="116" xr:uid="{00000000-0005-0000-0000-000073000000}"/>
    <cellStyle name="_대원공원설계서_진해자은수량산출서(단지내)_취합" xfId="117" xr:uid="{00000000-0005-0000-0000-000074000000}"/>
    <cellStyle name="_대원공원설계서_진해자은수량산출서(단지내)_취합_00-설계서,원가계산,내역서" xfId="118" xr:uid="{00000000-0005-0000-0000-000075000000}"/>
    <cellStyle name="_대원공원설계서_진해자은수량산출서(단지내)_취합_설계서-1" xfId="119" xr:uid="{00000000-0005-0000-0000-000076000000}"/>
    <cellStyle name="_대원공원설계서_진해자은수량산출서(단지내)_취합_설계서-1_00-설계서,원가계산,내역서" xfId="120" xr:uid="{00000000-0005-0000-0000-000077000000}"/>
    <cellStyle name="_동래점 토공사 가시설발주2-김대리님" xfId="121" xr:uid="{00000000-0005-0000-0000-000078000000}"/>
    <cellStyle name="_라멘교 토공" xfId="122" xr:uid="{00000000-0005-0000-0000-000079000000}"/>
    <cellStyle name="_라멘교 토공_00-설계서,원가계산,내역서" xfId="123" xr:uid="{00000000-0005-0000-0000-00007A000000}"/>
    <cellStyle name="_롯데본점 신관지하1층" xfId="124" xr:uid="{00000000-0005-0000-0000-00007B000000}"/>
    <cellStyle name="_명품가약전" xfId="125" xr:uid="{00000000-0005-0000-0000-00007C000000}"/>
    <cellStyle name="_명품가조명제어" xfId="126" xr:uid="{00000000-0005-0000-0000-00007D000000}"/>
    <cellStyle name="_방동" xfId="127" xr:uid="{00000000-0005-0000-0000-00007E000000}"/>
    <cellStyle name="_방동_00-설계서,원가계산,내역서" xfId="128" xr:uid="{00000000-0005-0000-0000-00007F000000}"/>
    <cellStyle name="_방동_03구조~1" xfId="129" xr:uid="{00000000-0005-0000-0000-000080000000}"/>
    <cellStyle name="_방동_03구조~1_00-설계서,원가계산,내역서" xfId="130" xr:uid="{00000000-0005-0000-0000-000081000000}"/>
    <cellStyle name="_방동_03구조~1_라멘교 토공" xfId="131" xr:uid="{00000000-0005-0000-0000-000082000000}"/>
    <cellStyle name="_방동_03구조~1_라멘교 토공_00-설계서,원가계산,내역서" xfId="132" xr:uid="{00000000-0005-0000-0000-000083000000}"/>
    <cellStyle name="_방동_03구조~1_포장" xfId="133" xr:uid="{00000000-0005-0000-0000-000084000000}"/>
    <cellStyle name="_방동_03구조~1_포장_00-설계서,원가계산,내역서" xfId="134" xr:uid="{00000000-0005-0000-0000-000085000000}"/>
    <cellStyle name="_방동_03구조~1_포장_라멘교 토공" xfId="135" xr:uid="{00000000-0005-0000-0000-000086000000}"/>
    <cellStyle name="_방동_03구조~1_포장_라멘교 토공_00-설계서,원가계산,내역서" xfId="136" xr:uid="{00000000-0005-0000-0000-000087000000}"/>
    <cellStyle name="_방동_03구조물공" xfId="137" xr:uid="{00000000-0005-0000-0000-000088000000}"/>
    <cellStyle name="_방동_03구조물공_00-설계서,원가계산,내역서" xfId="138" xr:uid="{00000000-0005-0000-0000-000089000000}"/>
    <cellStyle name="_방동_03구조물공_라멘교 토공" xfId="139" xr:uid="{00000000-0005-0000-0000-00008A000000}"/>
    <cellStyle name="_방동_03구조물공_라멘교 토공_00-설계서,원가계산,내역서" xfId="140" xr:uid="{00000000-0005-0000-0000-00008B000000}"/>
    <cellStyle name="_방동_03구조물공_포장" xfId="141" xr:uid="{00000000-0005-0000-0000-00008C000000}"/>
    <cellStyle name="_방동_03구조물공_포장_00-설계서,원가계산,내역서" xfId="142" xr:uid="{00000000-0005-0000-0000-00008D000000}"/>
    <cellStyle name="_방동_03구조물공_포장_라멘교 토공" xfId="143" xr:uid="{00000000-0005-0000-0000-00008E000000}"/>
    <cellStyle name="_방동_03구조물공_포장_라멘교 토공_00-설계서,원가계산,내역서" xfId="144" xr:uid="{00000000-0005-0000-0000-00008F000000}"/>
    <cellStyle name="_방동_내역서-최종0223" xfId="145" xr:uid="{00000000-0005-0000-0000-000090000000}"/>
    <cellStyle name="_방동_내역서-최종0223_00-설계서,원가계산,내역서" xfId="146" xr:uid="{00000000-0005-0000-0000-000091000000}"/>
    <cellStyle name="_방동_내역서-최종0223_설계서-1" xfId="147" xr:uid="{00000000-0005-0000-0000-000092000000}"/>
    <cellStyle name="_방동_내역서-최종0223_설계서-1_00-설계서,원가계산,내역서" xfId="148" xr:uid="{00000000-0005-0000-0000-000093000000}"/>
    <cellStyle name="_방동_내역서-최종0223_진해자은수량산출서(단지내)" xfId="149" xr:uid="{00000000-0005-0000-0000-000094000000}"/>
    <cellStyle name="_방동_내역서-최종0223_진해자은수량산출서(단지내)_00-설계서,원가계산,내역서" xfId="150" xr:uid="{00000000-0005-0000-0000-000095000000}"/>
    <cellStyle name="_방동_내역서-최종0223_진해자은수량산출서(단지내)_기초산출표-56-128-최종" xfId="151" xr:uid="{00000000-0005-0000-0000-000096000000}"/>
    <cellStyle name="_방동_내역서-최종0223_진해자은수량산출서(단지내)_기초산출표-56-128-최종_00-설계서,원가계산,내역서" xfId="152" xr:uid="{00000000-0005-0000-0000-000097000000}"/>
    <cellStyle name="_방동_내역서-최종0223_진해자은수량산출서(단지내)_기초산출표-56-128-최종_설계서-1" xfId="153" xr:uid="{00000000-0005-0000-0000-000098000000}"/>
    <cellStyle name="_방동_내역서-최종0223_진해자은수량산출서(단지내)_기초산출표-56-128-최종_설계서-1_00-설계서,원가계산,내역서" xfId="154" xr:uid="{00000000-0005-0000-0000-000099000000}"/>
    <cellStyle name="_방동_내역서-최종0223_진해자은수량산출서(단지내)_설계서-1" xfId="155" xr:uid="{00000000-0005-0000-0000-00009A000000}"/>
    <cellStyle name="_방동_내역서-최종0223_진해자은수량산출서(단지내)_설계서-1_00-설계서,원가계산,내역서" xfId="156" xr:uid="{00000000-0005-0000-0000-00009B000000}"/>
    <cellStyle name="_방동_내역서-최종0223_진해자은수량산출서(단지내)_취합" xfId="157" xr:uid="{00000000-0005-0000-0000-00009C000000}"/>
    <cellStyle name="_방동_내역서-최종0223_진해자은수량산출서(단지내)_취합_00-설계서,원가계산,내역서" xfId="158" xr:uid="{00000000-0005-0000-0000-00009D000000}"/>
    <cellStyle name="_방동_내역서-최종0223_진해자은수량산출서(단지내)_취합_설계서-1" xfId="159" xr:uid="{00000000-0005-0000-0000-00009E000000}"/>
    <cellStyle name="_방동_내역서-최종0223_진해자은수량산출서(단지내)_취합_설계서-1_00-설계서,원가계산,내역서" xfId="160" xr:uid="{00000000-0005-0000-0000-00009F000000}"/>
    <cellStyle name="_방동_동막리소교량" xfId="161" xr:uid="{00000000-0005-0000-0000-0000A0000000}"/>
    <cellStyle name="_방동_동막리소교량_00-설계서,원가계산,내역서" xfId="162" xr:uid="{00000000-0005-0000-0000-0000A1000000}"/>
    <cellStyle name="_방동_동막리소교량_라멘교 토공" xfId="163" xr:uid="{00000000-0005-0000-0000-0000A2000000}"/>
    <cellStyle name="_방동_동막리소교량_라멘교 토공_00-설계서,원가계산,내역서" xfId="164" xr:uid="{00000000-0005-0000-0000-0000A3000000}"/>
    <cellStyle name="_방동_동막리소교량_포장" xfId="165" xr:uid="{00000000-0005-0000-0000-0000A4000000}"/>
    <cellStyle name="_방동_동막리소교량_포장_00-설계서,원가계산,내역서" xfId="166" xr:uid="{00000000-0005-0000-0000-0000A5000000}"/>
    <cellStyle name="_방동_동막리소교량_포장_라멘교 토공" xfId="167" xr:uid="{00000000-0005-0000-0000-0000A6000000}"/>
    <cellStyle name="_방동_동막리소교량_포장_라멘교 토공_00-설계서,원가계산,내역서" xfId="168" xr:uid="{00000000-0005-0000-0000-0000A7000000}"/>
    <cellStyle name="_방동_라멘교 토공" xfId="169" xr:uid="{00000000-0005-0000-0000-0000A8000000}"/>
    <cellStyle name="_방동_라멘교 토공_00-설계서,원가계산,내역서" xfId="170" xr:uid="{00000000-0005-0000-0000-0000A9000000}"/>
    <cellStyle name="_방동_마현12~1" xfId="171" xr:uid="{00000000-0005-0000-0000-0000AA000000}"/>
    <cellStyle name="_방동_마현12~1_00-설계서,원가계산,내역서" xfId="172" xr:uid="{00000000-0005-0000-0000-0000AB000000}"/>
    <cellStyle name="_방동_마현12~1_라멘교 토공" xfId="173" xr:uid="{00000000-0005-0000-0000-0000AC000000}"/>
    <cellStyle name="_방동_마현12~1_라멘교 토공_00-설계서,원가계산,내역서" xfId="174" xr:uid="{00000000-0005-0000-0000-0000AD000000}"/>
    <cellStyle name="_방동_마현12~1_포장" xfId="175" xr:uid="{00000000-0005-0000-0000-0000AE000000}"/>
    <cellStyle name="_방동_마현12~1_포장_00-설계서,원가계산,내역서" xfId="176" xr:uid="{00000000-0005-0000-0000-0000AF000000}"/>
    <cellStyle name="_방동_마현12~1_포장_라멘교 토공" xfId="177" xr:uid="{00000000-0005-0000-0000-0000B0000000}"/>
    <cellStyle name="_방동_마현12~1_포장_라멘교 토공_00-설계서,원가계산,내역서" xfId="178" xr:uid="{00000000-0005-0000-0000-0000B1000000}"/>
    <cellStyle name="_방동_문혜3리" xfId="179" xr:uid="{00000000-0005-0000-0000-0000B2000000}"/>
    <cellStyle name="_방동_문혜3리_00-설계서,원가계산,내역서" xfId="180" xr:uid="{00000000-0005-0000-0000-0000B3000000}"/>
    <cellStyle name="_방동_문혜3리_라멘교 토공" xfId="181" xr:uid="{00000000-0005-0000-0000-0000B4000000}"/>
    <cellStyle name="_방동_문혜3리_라멘교 토공_00-설계서,원가계산,내역서" xfId="182" xr:uid="{00000000-0005-0000-0000-0000B5000000}"/>
    <cellStyle name="_방동_문혜3리_포장" xfId="183" xr:uid="{00000000-0005-0000-0000-0000B6000000}"/>
    <cellStyle name="_방동_문혜3리_포장_00-설계서,원가계산,내역서" xfId="184" xr:uid="{00000000-0005-0000-0000-0000B7000000}"/>
    <cellStyle name="_방동_문혜3리_포장_라멘교 토공" xfId="185" xr:uid="{00000000-0005-0000-0000-0000B8000000}"/>
    <cellStyle name="_방동_문혜3리_포장_라멘교 토공_00-설계서,원가계산,내역서" xfId="186" xr:uid="{00000000-0005-0000-0000-0000B9000000}"/>
    <cellStyle name="_방동_방동" xfId="187" xr:uid="{00000000-0005-0000-0000-0000BA000000}"/>
    <cellStyle name="_방동_방동_00-설계서,원가계산,내역서" xfId="188" xr:uid="{00000000-0005-0000-0000-0000BB000000}"/>
    <cellStyle name="_방동_방동_내역서-최종0223" xfId="189" xr:uid="{00000000-0005-0000-0000-0000BC000000}"/>
    <cellStyle name="_방동_방동_내역서-최종0223_00-설계서,원가계산,내역서" xfId="190" xr:uid="{00000000-0005-0000-0000-0000BD000000}"/>
    <cellStyle name="_방동_방동_내역서-최종0223_설계서-1" xfId="191" xr:uid="{00000000-0005-0000-0000-0000BE000000}"/>
    <cellStyle name="_방동_방동_내역서-최종0223_설계서-1_00-설계서,원가계산,내역서" xfId="192" xr:uid="{00000000-0005-0000-0000-0000BF000000}"/>
    <cellStyle name="_방동_방동_내역서-최종0223_진해자은수량산출서(단지내)" xfId="193" xr:uid="{00000000-0005-0000-0000-0000C0000000}"/>
    <cellStyle name="_방동_방동_내역서-최종0223_진해자은수량산출서(단지내)_00-설계서,원가계산,내역서" xfId="194" xr:uid="{00000000-0005-0000-0000-0000C1000000}"/>
    <cellStyle name="_방동_방동_내역서-최종0223_진해자은수량산출서(단지내)_기초산출표-56-128-최종" xfId="195" xr:uid="{00000000-0005-0000-0000-0000C2000000}"/>
    <cellStyle name="_방동_방동_내역서-최종0223_진해자은수량산출서(단지내)_기초산출표-56-128-최종_00-설계서,원가계산,내역서" xfId="196" xr:uid="{00000000-0005-0000-0000-0000C3000000}"/>
    <cellStyle name="_방동_방동_내역서-최종0223_진해자은수량산출서(단지내)_기초산출표-56-128-최종_설계서-1" xfId="197" xr:uid="{00000000-0005-0000-0000-0000C4000000}"/>
    <cellStyle name="_방동_방동_내역서-최종0223_진해자은수량산출서(단지내)_기초산출표-56-128-최종_설계서-1_00-설계서,원가계산,내역서" xfId="198" xr:uid="{00000000-0005-0000-0000-0000C5000000}"/>
    <cellStyle name="_방동_방동_내역서-최종0223_진해자은수량산출서(단지내)_설계서-1" xfId="199" xr:uid="{00000000-0005-0000-0000-0000C6000000}"/>
    <cellStyle name="_방동_방동_내역서-최종0223_진해자은수량산출서(단지내)_설계서-1_00-설계서,원가계산,내역서" xfId="200" xr:uid="{00000000-0005-0000-0000-0000C7000000}"/>
    <cellStyle name="_방동_방동_내역서-최종0223_진해자은수량산출서(단지내)_취합" xfId="201" xr:uid="{00000000-0005-0000-0000-0000C8000000}"/>
    <cellStyle name="_방동_방동_내역서-최종0223_진해자은수량산출서(단지내)_취합_00-설계서,원가계산,내역서" xfId="202" xr:uid="{00000000-0005-0000-0000-0000C9000000}"/>
    <cellStyle name="_방동_방동_내역서-최종0223_진해자은수량산출서(단지내)_취합_설계서-1" xfId="203" xr:uid="{00000000-0005-0000-0000-0000CA000000}"/>
    <cellStyle name="_방동_방동_내역서-최종0223_진해자은수량산출서(단지내)_취합_설계서-1_00-설계서,원가계산,내역서" xfId="204" xr:uid="{00000000-0005-0000-0000-0000CB000000}"/>
    <cellStyle name="_방동_방동_라멘교 토공" xfId="205" xr:uid="{00000000-0005-0000-0000-0000CC000000}"/>
    <cellStyle name="_방동_방동_라멘교 토공_00-설계서,원가계산,내역서" xfId="206" xr:uid="{00000000-0005-0000-0000-0000CD000000}"/>
    <cellStyle name="_방동_방동_설계서-1" xfId="207" xr:uid="{00000000-0005-0000-0000-0000CE000000}"/>
    <cellStyle name="_방동_방동_설계서-1_00-설계서,원가계산,내역서" xfId="208" xr:uid="{00000000-0005-0000-0000-0000CF000000}"/>
    <cellStyle name="_방동_방동_율동자연공원내 화장실 보수 및 도색공사" xfId="209" xr:uid="{00000000-0005-0000-0000-0000D0000000}"/>
    <cellStyle name="_방동_방동_율동자연공원내 화장실 보수 및 도색공사_00-설계서,원가계산,내역서" xfId="210" xr:uid="{00000000-0005-0000-0000-0000D1000000}"/>
    <cellStyle name="_방동_방동_율동자연공원내 화장실 보수 및 도색공사_내역서-최종0223" xfId="211" xr:uid="{00000000-0005-0000-0000-0000D2000000}"/>
    <cellStyle name="_방동_방동_율동자연공원내 화장실 보수 및 도색공사_내역서-최종0223_00-설계서,원가계산,내역서" xfId="212" xr:uid="{00000000-0005-0000-0000-0000D3000000}"/>
    <cellStyle name="_방동_방동_율동자연공원내 화장실 보수 및 도색공사_내역서-최종0223_설계서-1" xfId="213" xr:uid="{00000000-0005-0000-0000-0000D4000000}"/>
    <cellStyle name="_방동_방동_율동자연공원내 화장실 보수 및 도색공사_내역서-최종0223_설계서-1_00-설계서,원가계산,내역서" xfId="214" xr:uid="{00000000-0005-0000-0000-0000D5000000}"/>
    <cellStyle name="_방동_방동_율동자연공원내 화장실 보수 및 도색공사_내역서-최종0223_진해자은수량산출서(단지내)" xfId="215" xr:uid="{00000000-0005-0000-0000-0000D6000000}"/>
    <cellStyle name="_방동_방동_율동자연공원내 화장실 보수 및 도색공사_내역서-최종0223_진해자은수량산출서(단지내)_00-설계서,원가계산,내역서" xfId="216" xr:uid="{00000000-0005-0000-0000-0000D7000000}"/>
    <cellStyle name="_방동_방동_율동자연공원내 화장실 보수 및 도색공사_내역서-최종0223_진해자은수량산출서(단지내)_기초산출표-56-128-최종" xfId="217" xr:uid="{00000000-0005-0000-0000-0000D8000000}"/>
    <cellStyle name="_방동_방동_율동자연공원내 화장실 보수 및 도색공사_내역서-최종0223_진해자은수량산출서(단지내)_기초산출표-56-128-최종_00-설계서,원가계산,내역서" xfId="218" xr:uid="{00000000-0005-0000-0000-0000D9000000}"/>
    <cellStyle name="_방동_방동_율동자연공원내 화장실 보수 및 도색공사_내역서-최종0223_진해자은수량산출서(단지내)_기초산출표-56-128-최종_설계서-1" xfId="219" xr:uid="{00000000-0005-0000-0000-0000DA000000}"/>
    <cellStyle name="_방동_방동_율동자연공원내 화장실 보수 및 도색공사_내역서-최종0223_진해자은수량산출서(단지내)_기초산출표-56-128-최종_설계서-1_00-설계서,원가계산,내역서" xfId="220" xr:uid="{00000000-0005-0000-0000-0000DB000000}"/>
    <cellStyle name="_방동_방동_율동자연공원내 화장실 보수 및 도색공사_내역서-최종0223_진해자은수량산출서(단지내)_설계서-1" xfId="221" xr:uid="{00000000-0005-0000-0000-0000DC000000}"/>
    <cellStyle name="_방동_방동_율동자연공원내 화장실 보수 및 도색공사_내역서-최종0223_진해자은수량산출서(단지내)_설계서-1_00-설계서,원가계산,내역서" xfId="222" xr:uid="{00000000-0005-0000-0000-0000DD000000}"/>
    <cellStyle name="_방동_방동_율동자연공원내 화장실 보수 및 도색공사_내역서-최종0223_진해자은수량산출서(단지내)_취합" xfId="223" xr:uid="{00000000-0005-0000-0000-0000DE000000}"/>
    <cellStyle name="_방동_방동_율동자연공원내 화장실 보수 및 도색공사_내역서-최종0223_진해자은수량산출서(단지내)_취합_00-설계서,원가계산,내역서" xfId="224" xr:uid="{00000000-0005-0000-0000-0000DF000000}"/>
    <cellStyle name="_방동_방동_율동자연공원내 화장실 보수 및 도색공사_내역서-최종0223_진해자은수량산출서(단지내)_취합_설계서-1" xfId="225" xr:uid="{00000000-0005-0000-0000-0000E0000000}"/>
    <cellStyle name="_방동_방동_율동자연공원내 화장실 보수 및 도색공사_내역서-최종0223_진해자은수량산출서(단지내)_취합_설계서-1_00-설계서,원가계산,내역서" xfId="226" xr:uid="{00000000-0005-0000-0000-0000E1000000}"/>
    <cellStyle name="_방동_방동_율동자연공원내 화장실 보수 및 도색공사_설계서-1" xfId="227" xr:uid="{00000000-0005-0000-0000-0000E2000000}"/>
    <cellStyle name="_방동_방동_율동자연공원내 화장실 보수 및 도색공사_설계서-1_00-설계서,원가계산,내역서" xfId="228" xr:uid="{00000000-0005-0000-0000-0000E3000000}"/>
    <cellStyle name="_방동_방동_율동자연공원내 화장실 보수 및 도색공사_진해자은수량산출서(단지내)" xfId="229" xr:uid="{00000000-0005-0000-0000-0000E4000000}"/>
    <cellStyle name="_방동_방동_율동자연공원내 화장실 보수 및 도색공사_진해자은수량산출서(단지내)_00-설계서,원가계산,내역서" xfId="230" xr:uid="{00000000-0005-0000-0000-0000E5000000}"/>
    <cellStyle name="_방동_방동_율동자연공원내 화장실 보수 및 도색공사_진해자은수량산출서(단지내)_기초산출표-56-128-최종" xfId="231" xr:uid="{00000000-0005-0000-0000-0000E6000000}"/>
    <cellStyle name="_방동_방동_율동자연공원내 화장실 보수 및 도색공사_진해자은수량산출서(단지내)_기초산출표-56-128-최종_00-설계서,원가계산,내역서" xfId="232" xr:uid="{00000000-0005-0000-0000-0000E7000000}"/>
    <cellStyle name="_방동_방동_율동자연공원내 화장실 보수 및 도색공사_진해자은수량산출서(단지내)_기초산출표-56-128-최종_설계서-1" xfId="233" xr:uid="{00000000-0005-0000-0000-0000E8000000}"/>
    <cellStyle name="_방동_방동_율동자연공원내 화장실 보수 및 도색공사_진해자은수량산출서(단지내)_기초산출표-56-128-최종_설계서-1_00-설계서,원가계산,내역서" xfId="234" xr:uid="{00000000-0005-0000-0000-0000E9000000}"/>
    <cellStyle name="_방동_방동_율동자연공원내 화장실 보수 및 도색공사_진해자은수량산출서(단지내)_설계서-1" xfId="235" xr:uid="{00000000-0005-0000-0000-0000EA000000}"/>
    <cellStyle name="_방동_방동_율동자연공원내 화장실 보수 및 도색공사_진해자은수량산출서(단지내)_설계서-1_00-설계서,원가계산,내역서" xfId="236" xr:uid="{00000000-0005-0000-0000-0000EB000000}"/>
    <cellStyle name="_방동_방동_율동자연공원내 화장실 보수 및 도색공사_진해자은수량산출서(단지내)_취합" xfId="237" xr:uid="{00000000-0005-0000-0000-0000EC000000}"/>
    <cellStyle name="_방동_방동_율동자연공원내 화장실 보수 및 도색공사_진해자은수량산출서(단지내)_취합_00-설계서,원가계산,내역서" xfId="238" xr:uid="{00000000-0005-0000-0000-0000ED000000}"/>
    <cellStyle name="_방동_방동_율동자연공원내 화장실 보수 및 도색공사_진해자은수량산출서(단지내)_취합_설계서-1" xfId="239" xr:uid="{00000000-0005-0000-0000-0000EE000000}"/>
    <cellStyle name="_방동_방동_율동자연공원내 화장실 보수 및 도색공사_진해자은수량산출서(단지내)_취합_설계서-1_00-설계서,원가계산,내역서" xfId="240" xr:uid="{00000000-0005-0000-0000-0000EF000000}"/>
    <cellStyle name="_방동_방동_율동자연공원내 휴게편의점 도색작업-할증-천정면적추가" xfId="241" xr:uid="{00000000-0005-0000-0000-0000F0000000}"/>
    <cellStyle name="_방동_방동_율동자연공원내 휴게편의점 도색작업-할증-천정면적추가_00-설계서,원가계산,내역서" xfId="242" xr:uid="{00000000-0005-0000-0000-0000F1000000}"/>
    <cellStyle name="_방동_방동_율동자연공원내 휴게편의점 도색작업-할증-천정면적추가_내역서-최종0223" xfId="243" xr:uid="{00000000-0005-0000-0000-0000F2000000}"/>
    <cellStyle name="_방동_방동_율동자연공원내 휴게편의점 도색작업-할증-천정면적추가_내역서-최종0223_00-설계서,원가계산,내역서" xfId="244" xr:uid="{00000000-0005-0000-0000-0000F3000000}"/>
    <cellStyle name="_방동_방동_율동자연공원내 휴게편의점 도색작업-할증-천정면적추가_내역서-최종0223_설계서-1" xfId="245" xr:uid="{00000000-0005-0000-0000-0000F4000000}"/>
    <cellStyle name="_방동_방동_율동자연공원내 휴게편의점 도색작업-할증-천정면적추가_내역서-최종0223_설계서-1_00-설계서,원가계산,내역서" xfId="246" xr:uid="{00000000-0005-0000-0000-0000F5000000}"/>
    <cellStyle name="_방동_방동_율동자연공원내 휴게편의점 도색작업-할증-천정면적추가_내역서-최종0223_진해자은수량산출서(단지내)" xfId="247" xr:uid="{00000000-0005-0000-0000-0000F6000000}"/>
    <cellStyle name="_방동_방동_율동자연공원내 휴게편의점 도색작업-할증-천정면적추가_내역서-최종0223_진해자은수량산출서(단지내)_00-설계서,원가계산,내역서" xfId="248" xr:uid="{00000000-0005-0000-0000-0000F7000000}"/>
    <cellStyle name="_방동_방동_율동자연공원내 휴게편의점 도색작업-할증-천정면적추가_내역서-최종0223_진해자은수량산출서(단지내)_기초산출표-56-128-최종" xfId="249" xr:uid="{00000000-0005-0000-0000-0000F8000000}"/>
    <cellStyle name="_방동_방동_율동자연공원내 휴게편의점 도색작업-할증-천정면적추가_내역서-최종0223_진해자은수량산출서(단지내)_기초산출표-56-128-최종_00-설계서,원가계산,내역서" xfId="250" xr:uid="{00000000-0005-0000-0000-0000F9000000}"/>
    <cellStyle name="_방동_방동_율동자연공원내 휴게편의점 도색작업-할증-천정면적추가_내역서-최종0223_진해자은수량산출서(단지내)_기초산출표-56-128-최종_설계서-1" xfId="251" xr:uid="{00000000-0005-0000-0000-0000FA000000}"/>
    <cellStyle name="_방동_방동_율동자연공원내 휴게편의점 도색작업-할증-천정면적추가_내역서-최종0223_진해자은수량산출서(단지내)_기초산출표-56-128-최종_설계서-1_00-설계서,원가계산,내역서" xfId="252" xr:uid="{00000000-0005-0000-0000-0000FB000000}"/>
    <cellStyle name="_방동_방동_율동자연공원내 휴게편의점 도색작업-할증-천정면적추가_내역서-최종0223_진해자은수량산출서(단지내)_설계서-1" xfId="253" xr:uid="{00000000-0005-0000-0000-0000FC000000}"/>
    <cellStyle name="_방동_방동_율동자연공원내 휴게편의점 도색작업-할증-천정면적추가_내역서-최종0223_진해자은수량산출서(단지내)_설계서-1_00-설계서,원가계산,내역서" xfId="254" xr:uid="{00000000-0005-0000-0000-0000FD000000}"/>
    <cellStyle name="_방동_방동_율동자연공원내 휴게편의점 도색작업-할증-천정면적추가_내역서-최종0223_진해자은수량산출서(단지내)_취합" xfId="255" xr:uid="{00000000-0005-0000-0000-0000FE000000}"/>
    <cellStyle name="_방동_방동_율동자연공원내 휴게편의점 도색작업-할증-천정면적추가_내역서-최종0223_진해자은수량산출서(단지내)_취합_00-설계서,원가계산,내역서" xfId="256" xr:uid="{00000000-0005-0000-0000-0000FF000000}"/>
    <cellStyle name="_방동_방동_율동자연공원내 휴게편의점 도색작업-할증-천정면적추가_내역서-최종0223_진해자은수량산출서(단지내)_취합_설계서-1" xfId="257" xr:uid="{00000000-0005-0000-0000-000000010000}"/>
    <cellStyle name="_방동_방동_율동자연공원내 휴게편의점 도색작업-할증-천정면적추가_내역서-최종0223_진해자은수량산출서(단지내)_취합_설계서-1_00-설계서,원가계산,내역서" xfId="258" xr:uid="{00000000-0005-0000-0000-000001010000}"/>
    <cellStyle name="_방동_방동_율동자연공원내 휴게편의점 도색작업-할증-천정면적추가_설계서-1" xfId="259" xr:uid="{00000000-0005-0000-0000-000002010000}"/>
    <cellStyle name="_방동_방동_율동자연공원내 휴게편의점 도색작업-할증-천정면적추가_설계서-1_00-설계서,원가계산,내역서" xfId="260" xr:uid="{00000000-0005-0000-0000-000003010000}"/>
    <cellStyle name="_방동_방동_율동자연공원내 휴게편의점 도색작업-할증-천정면적추가_진해자은수량산출서(단지내)" xfId="261" xr:uid="{00000000-0005-0000-0000-000004010000}"/>
    <cellStyle name="_방동_방동_율동자연공원내 휴게편의점 도색작업-할증-천정면적추가_진해자은수량산출서(단지내)_00-설계서,원가계산,내역서" xfId="262" xr:uid="{00000000-0005-0000-0000-000005010000}"/>
    <cellStyle name="_방동_방동_율동자연공원내 휴게편의점 도색작업-할증-천정면적추가_진해자은수량산출서(단지내)_기초산출표-56-128-최종" xfId="263" xr:uid="{00000000-0005-0000-0000-000006010000}"/>
    <cellStyle name="_방동_방동_율동자연공원내 휴게편의점 도색작업-할증-천정면적추가_진해자은수량산출서(단지내)_기초산출표-56-128-최종_00-설계서,원가계산,내역서" xfId="264" xr:uid="{00000000-0005-0000-0000-000007010000}"/>
    <cellStyle name="_방동_방동_율동자연공원내 휴게편의점 도색작업-할증-천정면적추가_진해자은수량산출서(단지내)_기초산출표-56-128-최종_설계서-1" xfId="265" xr:uid="{00000000-0005-0000-0000-000008010000}"/>
    <cellStyle name="_방동_방동_율동자연공원내 휴게편의점 도색작업-할증-천정면적추가_진해자은수량산출서(단지내)_기초산출표-56-128-최종_설계서-1_00-설계서,원가계산,내역서" xfId="266" xr:uid="{00000000-0005-0000-0000-000009010000}"/>
    <cellStyle name="_방동_방동_율동자연공원내 휴게편의점 도색작업-할증-천정면적추가_진해자은수량산출서(단지내)_설계서-1" xfId="267" xr:uid="{00000000-0005-0000-0000-00000A010000}"/>
    <cellStyle name="_방동_방동_율동자연공원내 휴게편의점 도색작업-할증-천정면적추가_진해자은수량산출서(단지내)_설계서-1_00-설계서,원가계산,내역서" xfId="268" xr:uid="{00000000-0005-0000-0000-00000B010000}"/>
    <cellStyle name="_방동_방동_율동자연공원내 휴게편의점 도색작업-할증-천정면적추가_진해자은수량산출서(단지내)_취합" xfId="269" xr:uid="{00000000-0005-0000-0000-00000C010000}"/>
    <cellStyle name="_방동_방동_율동자연공원내 휴게편의점 도색작업-할증-천정면적추가_진해자은수량산출서(단지내)_취합_00-설계서,원가계산,내역서" xfId="270" xr:uid="{00000000-0005-0000-0000-00000D010000}"/>
    <cellStyle name="_방동_방동_율동자연공원내 휴게편의점 도색작업-할증-천정면적추가_진해자은수량산출서(단지내)_취합_설계서-1" xfId="271" xr:uid="{00000000-0005-0000-0000-00000E010000}"/>
    <cellStyle name="_방동_방동_율동자연공원내 휴게편의점 도색작업-할증-천정면적추가_진해자은수량산출서(단지내)_취합_설계서-1_00-설계서,원가계산,내역서" xfId="272" xr:uid="{00000000-0005-0000-0000-00000F010000}"/>
    <cellStyle name="_방동_방동_이문동구간중랑천변녹화사업(수량산출서, 071127)-최종" xfId="273" xr:uid="{00000000-0005-0000-0000-000010010000}"/>
    <cellStyle name="_방동_방동_이문동구간중랑천변녹화사업(수량산출서, 071127)-최종_00-설계서,원가계산,내역서" xfId="274" xr:uid="{00000000-0005-0000-0000-000011010000}"/>
    <cellStyle name="_방동_방동_진해자은수량산출서(단지내)" xfId="275" xr:uid="{00000000-0005-0000-0000-000012010000}"/>
    <cellStyle name="_방동_방동_진해자은수량산출서(단지내)_00-설계서,원가계산,내역서" xfId="276" xr:uid="{00000000-0005-0000-0000-000013010000}"/>
    <cellStyle name="_방동_방동_진해자은수량산출서(단지내)_기초산출표-56-128-최종" xfId="277" xr:uid="{00000000-0005-0000-0000-000014010000}"/>
    <cellStyle name="_방동_방동_진해자은수량산출서(단지내)_기초산출표-56-128-최종_00-설계서,원가계산,내역서" xfId="278" xr:uid="{00000000-0005-0000-0000-000015010000}"/>
    <cellStyle name="_방동_방동_진해자은수량산출서(단지내)_기초산출표-56-128-최종_설계서-1" xfId="279" xr:uid="{00000000-0005-0000-0000-000016010000}"/>
    <cellStyle name="_방동_방동_진해자은수량산출서(단지내)_기초산출표-56-128-최종_설계서-1_00-설계서,원가계산,내역서" xfId="280" xr:uid="{00000000-0005-0000-0000-000017010000}"/>
    <cellStyle name="_방동_방동_진해자은수량산출서(단지내)_설계서-1" xfId="281" xr:uid="{00000000-0005-0000-0000-000018010000}"/>
    <cellStyle name="_방동_방동_진해자은수량산출서(단지내)_설계서-1_00-설계서,원가계산,내역서" xfId="282" xr:uid="{00000000-0005-0000-0000-000019010000}"/>
    <cellStyle name="_방동_방동_진해자은수량산출서(단지내)_취합" xfId="283" xr:uid="{00000000-0005-0000-0000-00001A010000}"/>
    <cellStyle name="_방동_방동_진해자은수량산출서(단지내)_취합_00-설계서,원가계산,내역서" xfId="284" xr:uid="{00000000-0005-0000-0000-00001B010000}"/>
    <cellStyle name="_방동_방동_진해자은수량산출서(단지내)_취합_설계서-1" xfId="285" xr:uid="{00000000-0005-0000-0000-00001C010000}"/>
    <cellStyle name="_방동_방동_진해자은수량산출서(단지내)_취합_설계서-1_00-설계서,원가계산,내역서" xfId="286" xr:uid="{00000000-0005-0000-0000-00001D010000}"/>
    <cellStyle name="_방동_방동_포장" xfId="287" xr:uid="{00000000-0005-0000-0000-00001E010000}"/>
    <cellStyle name="_방동_방동_포장_00-설계서,원가계산,내역서" xfId="288" xr:uid="{00000000-0005-0000-0000-00001F010000}"/>
    <cellStyle name="_방동_방동_포장_라멘교 토공" xfId="289" xr:uid="{00000000-0005-0000-0000-000020010000}"/>
    <cellStyle name="_방동_방동_포장_라멘교 토공_00-설계서,원가계산,내역서" xfId="290" xr:uid="{00000000-0005-0000-0000-000021010000}"/>
    <cellStyle name="_방동_산양2리지구" xfId="291" xr:uid="{00000000-0005-0000-0000-000022010000}"/>
    <cellStyle name="_방동_산양2리지구_00-설계서,원가계산,내역서" xfId="292" xr:uid="{00000000-0005-0000-0000-000023010000}"/>
    <cellStyle name="_방동_산양2리지구_라멘교 토공" xfId="293" xr:uid="{00000000-0005-0000-0000-000024010000}"/>
    <cellStyle name="_방동_산양2리지구_라멘교 토공_00-설계서,원가계산,내역서" xfId="294" xr:uid="{00000000-0005-0000-0000-000025010000}"/>
    <cellStyle name="_방동_산양2리지구_포장" xfId="295" xr:uid="{00000000-0005-0000-0000-000026010000}"/>
    <cellStyle name="_방동_산양2리지구_포장_00-설계서,원가계산,내역서" xfId="296" xr:uid="{00000000-0005-0000-0000-000027010000}"/>
    <cellStyle name="_방동_산양2리지구_포장_라멘교 토공" xfId="297" xr:uid="{00000000-0005-0000-0000-000028010000}"/>
    <cellStyle name="_방동_산양2리지구_포장_라멘교 토공_00-설계서,원가계산,내역서" xfId="298" xr:uid="{00000000-0005-0000-0000-000029010000}"/>
    <cellStyle name="_방동_산양리지구" xfId="299" xr:uid="{00000000-0005-0000-0000-00002A010000}"/>
    <cellStyle name="_방동_산양리지구_00-설계서,원가계산,내역서" xfId="300" xr:uid="{00000000-0005-0000-0000-00002B010000}"/>
    <cellStyle name="_방동_산양리지구_내역서-최종0223" xfId="301" xr:uid="{00000000-0005-0000-0000-00002C010000}"/>
    <cellStyle name="_방동_산양리지구_내역서-최종0223_00-설계서,원가계산,내역서" xfId="302" xr:uid="{00000000-0005-0000-0000-00002D010000}"/>
    <cellStyle name="_방동_산양리지구_내역서-최종0223_설계서-1" xfId="303" xr:uid="{00000000-0005-0000-0000-00002E010000}"/>
    <cellStyle name="_방동_산양리지구_내역서-최종0223_설계서-1_00-설계서,원가계산,내역서" xfId="304" xr:uid="{00000000-0005-0000-0000-00002F010000}"/>
    <cellStyle name="_방동_산양리지구_내역서-최종0223_진해자은수량산출서(단지내)" xfId="305" xr:uid="{00000000-0005-0000-0000-000030010000}"/>
    <cellStyle name="_방동_산양리지구_내역서-최종0223_진해자은수량산출서(단지내)_00-설계서,원가계산,내역서" xfId="306" xr:uid="{00000000-0005-0000-0000-000031010000}"/>
    <cellStyle name="_방동_산양리지구_내역서-최종0223_진해자은수량산출서(단지내)_기초산출표-56-128-최종" xfId="307" xr:uid="{00000000-0005-0000-0000-000032010000}"/>
    <cellStyle name="_방동_산양리지구_내역서-최종0223_진해자은수량산출서(단지내)_기초산출표-56-128-최종_00-설계서,원가계산,내역서" xfId="308" xr:uid="{00000000-0005-0000-0000-000033010000}"/>
    <cellStyle name="_방동_산양리지구_내역서-최종0223_진해자은수량산출서(단지내)_기초산출표-56-128-최종_설계서-1" xfId="309" xr:uid="{00000000-0005-0000-0000-000034010000}"/>
    <cellStyle name="_방동_산양리지구_내역서-최종0223_진해자은수량산출서(단지내)_기초산출표-56-128-최종_설계서-1_00-설계서,원가계산,내역서" xfId="310" xr:uid="{00000000-0005-0000-0000-000035010000}"/>
    <cellStyle name="_방동_산양리지구_내역서-최종0223_진해자은수량산출서(단지내)_설계서-1" xfId="311" xr:uid="{00000000-0005-0000-0000-000036010000}"/>
    <cellStyle name="_방동_산양리지구_내역서-최종0223_진해자은수량산출서(단지내)_설계서-1_00-설계서,원가계산,내역서" xfId="312" xr:uid="{00000000-0005-0000-0000-000037010000}"/>
    <cellStyle name="_방동_산양리지구_내역서-최종0223_진해자은수량산출서(단지내)_취합" xfId="313" xr:uid="{00000000-0005-0000-0000-000038010000}"/>
    <cellStyle name="_방동_산양리지구_내역서-최종0223_진해자은수량산출서(단지내)_취합_00-설계서,원가계산,내역서" xfId="314" xr:uid="{00000000-0005-0000-0000-000039010000}"/>
    <cellStyle name="_방동_산양리지구_내역서-최종0223_진해자은수량산출서(단지내)_취합_설계서-1" xfId="315" xr:uid="{00000000-0005-0000-0000-00003A010000}"/>
    <cellStyle name="_방동_산양리지구_내역서-최종0223_진해자은수량산출서(단지내)_취합_설계서-1_00-설계서,원가계산,내역서" xfId="316" xr:uid="{00000000-0005-0000-0000-00003B010000}"/>
    <cellStyle name="_방동_산양리지구_라멘교 토공" xfId="317" xr:uid="{00000000-0005-0000-0000-00003C010000}"/>
    <cellStyle name="_방동_산양리지구_라멘교 토공_00-설계서,원가계산,내역서" xfId="318" xr:uid="{00000000-0005-0000-0000-00003D010000}"/>
    <cellStyle name="_방동_산양리지구_설계서-1" xfId="319" xr:uid="{00000000-0005-0000-0000-00003E010000}"/>
    <cellStyle name="_방동_산양리지구_설계서-1_00-설계서,원가계산,내역서" xfId="320" xr:uid="{00000000-0005-0000-0000-00003F010000}"/>
    <cellStyle name="_방동_산양리지구_율동자연공원내 화장실 보수 및 도색공사" xfId="321" xr:uid="{00000000-0005-0000-0000-000040010000}"/>
    <cellStyle name="_방동_산양리지구_율동자연공원내 화장실 보수 및 도색공사_00-설계서,원가계산,내역서" xfId="322" xr:uid="{00000000-0005-0000-0000-000041010000}"/>
    <cellStyle name="_방동_산양리지구_율동자연공원내 화장실 보수 및 도색공사_내역서-최종0223" xfId="323" xr:uid="{00000000-0005-0000-0000-000042010000}"/>
    <cellStyle name="_방동_산양리지구_율동자연공원내 화장실 보수 및 도색공사_내역서-최종0223_00-설계서,원가계산,내역서" xfId="324" xr:uid="{00000000-0005-0000-0000-000043010000}"/>
    <cellStyle name="_방동_산양리지구_율동자연공원내 화장실 보수 및 도색공사_내역서-최종0223_설계서-1" xfId="325" xr:uid="{00000000-0005-0000-0000-000044010000}"/>
    <cellStyle name="_방동_산양리지구_율동자연공원내 화장실 보수 및 도색공사_내역서-최종0223_설계서-1_00-설계서,원가계산,내역서" xfId="326" xr:uid="{00000000-0005-0000-0000-000045010000}"/>
    <cellStyle name="_방동_산양리지구_율동자연공원내 화장실 보수 및 도색공사_내역서-최종0223_진해자은수량산출서(단지내)" xfId="327" xr:uid="{00000000-0005-0000-0000-000046010000}"/>
    <cellStyle name="_방동_산양리지구_율동자연공원내 화장실 보수 및 도색공사_내역서-최종0223_진해자은수량산출서(단지내)_00-설계서,원가계산,내역서" xfId="328" xr:uid="{00000000-0005-0000-0000-000047010000}"/>
    <cellStyle name="_방동_산양리지구_율동자연공원내 화장실 보수 및 도색공사_내역서-최종0223_진해자은수량산출서(단지내)_기초산출표-56-128-최종" xfId="329" xr:uid="{00000000-0005-0000-0000-000048010000}"/>
    <cellStyle name="_방동_산양리지구_율동자연공원내 화장실 보수 및 도색공사_내역서-최종0223_진해자은수량산출서(단지내)_기초산출표-56-128-최종_00-설계서,원가계산,내역서" xfId="330" xr:uid="{00000000-0005-0000-0000-000049010000}"/>
    <cellStyle name="_방동_산양리지구_율동자연공원내 화장실 보수 및 도색공사_내역서-최종0223_진해자은수량산출서(단지내)_기초산출표-56-128-최종_설계서-1" xfId="331" xr:uid="{00000000-0005-0000-0000-00004A010000}"/>
    <cellStyle name="_방동_산양리지구_율동자연공원내 화장실 보수 및 도색공사_내역서-최종0223_진해자은수량산출서(단지내)_기초산출표-56-128-최종_설계서-1_00-설계서,원가계산,내역서" xfId="332" xr:uid="{00000000-0005-0000-0000-00004B010000}"/>
    <cellStyle name="_방동_산양리지구_율동자연공원내 화장실 보수 및 도색공사_내역서-최종0223_진해자은수량산출서(단지내)_설계서-1" xfId="333" xr:uid="{00000000-0005-0000-0000-00004C010000}"/>
    <cellStyle name="_방동_산양리지구_율동자연공원내 화장실 보수 및 도색공사_내역서-최종0223_진해자은수량산출서(단지내)_설계서-1_00-설계서,원가계산,내역서" xfId="334" xr:uid="{00000000-0005-0000-0000-00004D010000}"/>
    <cellStyle name="_방동_산양리지구_율동자연공원내 화장실 보수 및 도색공사_내역서-최종0223_진해자은수량산출서(단지내)_취합" xfId="335" xr:uid="{00000000-0005-0000-0000-00004E010000}"/>
    <cellStyle name="_방동_산양리지구_율동자연공원내 화장실 보수 및 도색공사_내역서-최종0223_진해자은수량산출서(단지내)_취합_00-설계서,원가계산,내역서" xfId="336" xr:uid="{00000000-0005-0000-0000-00004F010000}"/>
    <cellStyle name="_방동_산양리지구_율동자연공원내 화장실 보수 및 도색공사_내역서-최종0223_진해자은수량산출서(단지내)_취합_설계서-1" xfId="337" xr:uid="{00000000-0005-0000-0000-000050010000}"/>
    <cellStyle name="_방동_산양리지구_율동자연공원내 화장실 보수 및 도색공사_내역서-최종0223_진해자은수량산출서(단지내)_취합_설계서-1_00-설계서,원가계산,내역서" xfId="338" xr:uid="{00000000-0005-0000-0000-000051010000}"/>
    <cellStyle name="_방동_산양리지구_율동자연공원내 화장실 보수 및 도색공사_설계서-1" xfId="339" xr:uid="{00000000-0005-0000-0000-000052010000}"/>
    <cellStyle name="_방동_산양리지구_율동자연공원내 화장실 보수 및 도색공사_설계서-1_00-설계서,원가계산,내역서" xfId="340" xr:uid="{00000000-0005-0000-0000-000053010000}"/>
    <cellStyle name="_방동_산양리지구_율동자연공원내 화장실 보수 및 도색공사_진해자은수량산출서(단지내)" xfId="341" xr:uid="{00000000-0005-0000-0000-000054010000}"/>
    <cellStyle name="_방동_산양리지구_율동자연공원내 화장실 보수 및 도색공사_진해자은수량산출서(단지내)_00-설계서,원가계산,내역서" xfId="342" xr:uid="{00000000-0005-0000-0000-000055010000}"/>
    <cellStyle name="_방동_산양리지구_율동자연공원내 화장실 보수 및 도색공사_진해자은수량산출서(단지내)_기초산출표-56-128-최종" xfId="343" xr:uid="{00000000-0005-0000-0000-000056010000}"/>
    <cellStyle name="_방동_산양리지구_율동자연공원내 화장실 보수 및 도색공사_진해자은수량산출서(단지내)_기초산출표-56-128-최종_00-설계서,원가계산,내역서" xfId="344" xr:uid="{00000000-0005-0000-0000-000057010000}"/>
    <cellStyle name="_방동_산양리지구_율동자연공원내 화장실 보수 및 도색공사_진해자은수량산출서(단지내)_기초산출표-56-128-최종_설계서-1" xfId="345" xr:uid="{00000000-0005-0000-0000-000058010000}"/>
    <cellStyle name="_방동_산양리지구_율동자연공원내 화장실 보수 및 도색공사_진해자은수량산출서(단지내)_기초산출표-56-128-최종_설계서-1_00-설계서,원가계산,내역서" xfId="346" xr:uid="{00000000-0005-0000-0000-000059010000}"/>
    <cellStyle name="_방동_산양리지구_율동자연공원내 화장실 보수 및 도색공사_진해자은수량산출서(단지내)_설계서-1" xfId="347" xr:uid="{00000000-0005-0000-0000-00005A010000}"/>
    <cellStyle name="_방동_산양리지구_율동자연공원내 화장실 보수 및 도색공사_진해자은수량산출서(단지내)_설계서-1_00-설계서,원가계산,내역서" xfId="348" xr:uid="{00000000-0005-0000-0000-00005B010000}"/>
    <cellStyle name="_방동_산양리지구_율동자연공원내 화장실 보수 및 도색공사_진해자은수량산출서(단지내)_취합" xfId="349" xr:uid="{00000000-0005-0000-0000-00005C010000}"/>
    <cellStyle name="_방동_산양리지구_율동자연공원내 화장실 보수 및 도색공사_진해자은수량산출서(단지내)_취합_00-설계서,원가계산,내역서" xfId="350" xr:uid="{00000000-0005-0000-0000-00005D010000}"/>
    <cellStyle name="_방동_산양리지구_율동자연공원내 화장실 보수 및 도색공사_진해자은수량산출서(단지내)_취합_설계서-1" xfId="351" xr:uid="{00000000-0005-0000-0000-00005E010000}"/>
    <cellStyle name="_방동_산양리지구_율동자연공원내 화장실 보수 및 도색공사_진해자은수량산출서(단지내)_취합_설계서-1_00-설계서,원가계산,내역서" xfId="352" xr:uid="{00000000-0005-0000-0000-00005F010000}"/>
    <cellStyle name="_방동_산양리지구_율동자연공원내 휴게편의점 도색작업-할증-천정면적추가" xfId="353" xr:uid="{00000000-0005-0000-0000-000060010000}"/>
    <cellStyle name="_방동_산양리지구_율동자연공원내 휴게편의점 도색작업-할증-천정면적추가_00-설계서,원가계산,내역서" xfId="354" xr:uid="{00000000-0005-0000-0000-000061010000}"/>
    <cellStyle name="_방동_산양리지구_율동자연공원내 휴게편의점 도색작업-할증-천정면적추가_내역서-최종0223" xfId="355" xr:uid="{00000000-0005-0000-0000-000062010000}"/>
    <cellStyle name="_방동_산양리지구_율동자연공원내 휴게편의점 도색작업-할증-천정면적추가_내역서-최종0223_00-설계서,원가계산,내역서" xfId="356" xr:uid="{00000000-0005-0000-0000-000063010000}"/>
    <cellStyle name="_방동_산양리지구_율동자연공원내 휴게편의점 도색작업-할증-천정면적추가_내역서-최종0223_설계서-1" xfId="357" xr:uid="{00000000-0005-0000-0000-000064010000}"/>
    <cellStyle name="_방동_산양리지구_율동자연공원내 휴게편의점 도색작업-할증-천정면적추가_내역서-최종0223_설계서-1_00-설계서,원가계산,내역서" xfId="358" xr:uid="{00000000-0005-0000-0000-000065010000}"/>
    <cellStyle name="_방동_산양리지구_율동자연공원내 휴게편의점 도색작업-할증-천정면적추가_내역서-최종0223_진해자은수량산출서(단지내)" xfId="359" xr:uid="{00000000-0005-0000-0000-000066010000}"/>
    <cellStyle name="_방동_산양리지구_율동자연공원내 휴게편의점 도색작업-할증-천정면적추가_내역서-최종0223_진해자은수량산출서(단지내)_00-설계서,원가계산,내역서" xfId="360" xr:uid="{00000000-0005-0000-0000-000067010000}"/>
    <cellStyle name="_방동_산양리지구_율동자연공원내 휴게편의점 도색작업-할증-천정면적추가_내역서-최종0223_진해자은수량산출서(단지내)_기초산출표-56-128-최종" xfId="361" xr:uid="{00000000-0005-0000-0000-000068010000}"/>
    <cellStyle name="_방동_산양리지구_율동자연공원내 휴게편의점 도색작업-할증-천정면적추가_내역서-최종0223_진해자은수량산출서(단지내)_기초산출표-56-128-최종_00-설계서,원가계산,내역서" xfId="362" xr:uid="{00000000-0005-0000-0000-000069010000}"/>
    <cellStyle name="_방동_산양리지구_율동자연공원내 휴게편의점 도색작업-할증-천정면적추가_내역서-최종0223_진해자은수량산출서(단지내)_기초산출표-56-128-최종_설계서-1" xfId="363" xr:uid="{00000000-0005-0000-0000-00006A010000}"/>
    <cellStyle name="_방동_산양리지구_율동자연공원내 휴게편의점 도색작업-할증-천정면적추가_내역서-최종0223_진해자은수량산출서(단지내)_기초산출표-56-128-최종_설계서-1_00-설계서,원가계산,내역서" xfId="364" xr:uid="{00000000-0005-0000-0000-00006B010000}"/>
    <cellStyle name="_방동_산양리지구_율동자연공원내 휴게편의점 도색작업-할증-천정면적추가_내역서-최종0223_진해자은수량산출서(단지내)_설계서-1" xfId="365" xr:uid="{00000000-0005-0000-0000-00006C010000}"/>
    <cellStyle name="_방동_산양리지구_율동자연공원내 휴게편의점 도색작업-할증-천정면적추가_내역서-최종0223_진해자은수량산출서(단지내)_설계서-1_00-설계서,원가계산,내역서" xfId="366" xr:uid="{00000000-0005-0000-0000-00006D010000}"/>
    <cellStyle name="_방동_산양리지구_율동자연공원내 휴게편의점 도색작업-할증-천정면적추가_내역서-최종0223_진해자은수량산출서(단지내)_취합" xfId="367" xr:uid="{00000000-0005-0000-0000-00006E010000}"/>
    <cellStyle name="_방동_산양리지구_율동자연공원내 휴게편의점 도색작업-할증-천정면적추가_내역서-최종0223_진해자은수량산출서(단지내)_취합_00-설계서,원가계산,내역서" xfId="368" xr:uid="{00000000-0005-0000-0000-00006F010000}"/>
    <cellStyle name="_방동_산양리지구_율동자연공원내 휴게편의점 도색작업-할증-천정면적추가_내역서-최종0223_진해자은수량산출서(단지내)_취합_설계서-1" xfId="369" xr:uid="{00000000-0005-0000-0000-000070010000}"/>
    <cellStyle name="_방동_산양리지구_율동자연공원내 휴게편의점 도색작업-할증-천정면적추가_내역서-최종0223_진해자은수량산출서(단지내)_취합_설계서-1_00-설계서,원가계산,내역서" xfId="370" xr:uid="{00000000-0005-0000-0000-000071010000}"/>
    <cellStyle name="_방동_산양리지구_율동자연공원내 휴게편의점 도색작업-할증-천정면적추가_설계서-1" xfId="371" xr:uid="{00000000-0005-0000-0000-000072010000}"/>
    <cellStyle name="_방동_산양리지구_율동자연공원내 휴게편의점 도색작업-할증-천정면적추가_설계서-1_00-설계서,원가계산,내역서" xfId="372" xr:uid="{00000000-0005-0000-0000-000073010000}"/>
    <cellStyle name="_방동_산양리지구_율동자연공원내 휴게편의점 도색작업-할증-천정면적추가_진해자은수량산출서(단지내)" xfId="373" xr:uid="{00000000-0005-0000-0000-000074010000}"/>
    <cellStyle name="_방동_산양리지구_율동자연공원내 휴게편의점 도색작업-할증-천정면적추가_진해자은수량산출서(단지내)_00-설계서,원가계산,내역서" xfId="374" xr:uid="{00000000-0005-0000-0000-000075010000}"/>
    <cellStyle name="_방동_산양리지구_율동자연공원내 휴게편의점 도색작업-할증-천정면적추가_진해자은수량산출서(단지내)_기초산출표-56-128-최종" xfId="375" xr:uid="{00000000-0005-0000-0000-000076010000}"/>
    <cellStyle name="_방동_산양리지구_율동자연공원내 휴게편의점 도색작업-할증-천정면적추가_진해자은수량산출서(단지내)_기초산출표-56-128-최종_00-설계서,원가계산,내역서" xfId="376" xr:uid="{00000000-0005-0000-0000-000077010000}"/>
    <cellStyle name="_방동_산양리지구_율동자연공원내 휴게편의점 도색작업-할증-천정면적추가_진해자은수량산출서(단지내)_기초산출표-56-128-최종_설계서-1" xfId="377" xr:uid="{00000000-0005-0000-0000-000078010000}"/>
    <cellStyle name="_방동_산양리지구_율동자연공원내 휴게편의점 도색작업-할증-천정면적추가_진해자은수량산출서(단지내)_기초산출표-56-128-최종_설계서-1_00-설계서,원가계산,내역서" xfId="378" xr:uid="{00000000-0005-0000-0000-000079010000}"/>
    <cellStyle name="_방동_산양리지구_율동자연공원내 휴게편의점 도색작업-할증-천정면적추가_진해자은수량산출서(단지내)_설계서-1" xfId="379" xr:uid="{00000000-0005-0000-0000-00007A010000}"/>
    <cellStyle name="_방동_산양리지구_율동자연공원내 휴게편의점 도색작업-할증-천정면적추가_진해자은수량산출서(단지내)_설계서-1_00-설계서,원가계산,내역서" xfId="380" xr:uid="{00000000-0005-0000-0000-00007B010000}"/>
    <cellStyle name="_방동_산양리지구_율동자연공원내 휴게편의점 도색작업-할증-천정면적추가_진해자은수량산출서(단지내)_취합" xfId="381" xr:uid="{00000000-0005-0000-0000-00007C010000}"/>
    <cellStyle name="_방동_산양리지구_율동자연공원내 휴게편의점 도색작업-할증-천정면적추가_진해자은수량산출서(단지내)_취합_00-설계서,원가계산,내역서" xfId="382" xr:uid="{00000000-0005-0000-0000-00007D010000}"/>
    <cellStyle name="_방동_산양리지구_율동자연공원내 휴게편의점 도색작업-할증-천정면적추가_진해자은수량산출서(단지내)_취합_설계서-1" xfId="383" xr:uid="{00000000-0005-0000-0000-00007E010000}"/>
    <cellStyle name="_방동_산양리지구_율동자연공원내 휴게편의점 도색작업-할증-천정면적추가_진해자은수량산출서(단지내)_취합_설계서-1_00-설계서,원가계산,내역서" xfId="384" xr:uid="{00000000-0005-0000-0000-00007F010000}"/>
    <cellStyle name="_방동_산양리지구_이문동구간중랑천변녹화사업(수량산출서, 071127)-최종" xfId="385" xr:uid="{00000000-0005-0000-0000-000080010000}"/>
    <cellStyle name="_방동_산양리지구_이문동구간중랑천변녹화사업(수량산출서, 071127)-최종_00-설계서,원가계산,내역서" xfId="386" xr:uid="{00000000-0005-0000-0000-000081010000}"/>
    <cellStyle name="_방동_산양리지구_진해자은수량산출서(단지내)" xfId="387" xr:uid="{00000000-0005-0000-0000-000082010000}"/>
    <cellStyle name="_방동_산양리지구_진해자은수량산출서(단지내)_00-설계서,원가계산,내역서" xfId="388" xr:uid="{00000000-0005-0000-0000-000083010000}"/>
    <cellStyle name="_방동_산양리지구_진해자은수량산출서(단지내)_기초산출표-56-128-최종" xfId="389" xr:uid="{00000000-0005-0000-0000-000084010000}"/>
    <cellStyle name="_방동_산양리지구_진해자은수량산출서(단지내)_기초산출표-56-128-최종_00-설계서,원가계산,내역서" xfId="390" xr:uid="{00000000-0005-0000-0000-000085010000}"/>
    <cellStyle name="_방동_산양리지구_진해자은수량산출서(단지내)_기초산출표-56-128-최종_설계서-1" xfId="391" xr:uid="{00000000-0005-0000-0000-000086010000}"/>
    <cellStyle name="_방동_산양리지구_진해자은수량산출서(단지내)_기초산출표-56-128-최종_설계서-1_00-설계서,원가계산,내역서" xfId="392" xr:uid="{00000000-0005-0000-0000-000087010000}"/>
    <cellStyle name="_방동_산양리지구_진해자은수량산출서(단지내)_설계서-1" xfId="393" xr:uid="{00000000-0005-0000-0000-000088010000}"/>
    <cellStyle name="_방동_산양리지구_진해자은수량산출서(단지내)_설계서-1_00-설계서,원가계산,내역서" xfId="394" xr:uid="{00000000-0005-0000-0000-000089010000}"/>
    <cellStyle name="_방동_산양리지구_진해자은수량산출서(단지내)_취합" xfId="395" xr:uid="{00000000-0005-0000-0000-00008A010000}"/>
    <cellStyle name="_방동_산양리지구_진해자은수량산출서(단지내)_취합_00-설계서,원가계산,내역서" xfId="396" xr:uid="{00000000-0005-0000-0000-00008B010000}"/>
    <cellStyle name="_방동_산양리지구_진해자은수량산출서(단지내)_취합_설계서-1" xfId="397" xr:uid="{00000000-0005-0000-0000-00008C010000}"/>
    <cellStyle name="_방동_산양리지구_진해자은수량산출서(단지내)_취합_설계서-1_00-설계서,원가계산,내역서" xfId="398" xr:uid="{00000000-0005-0000-0000-00008D010000}"/>
    <cellStyle name="_방동_산양리지구_포장" xfId="399" xr:uid="{00000000-0005-0000-0000-00008E010000}"/>
    <cellStyle name="_방동_산양리지구_포장_00-설계서,원가계산,내역서" xfId="400" xr:uid="{00000000-0005-0000-0000-00008F010000}"/>
    <cellStyle name="_방동_산양리지구_포장_라멘교 토공" xfId="401" xr:uid="{00000000-0005-0000-0000-000090010000}"/>
    <cellStyle name="_방동_산양리지구_포장_라멘교 토공_00-설계서,원가계산,내역서" xfId="402" xr:uid="{00000000-0005-0000-0000-000091010000}"/>
    <cellStyle name="_방동_서상2리" xfId="403" xr:uid="{00000000-0005-0000-0000-000092010000}"/>
    <cellStyle name="_방동_서상2리_00-설계서,원가계산,내역서" xfId="404" xr:uid="{00000000-0005-0000-0000-000093010000}"/>
    <cellStyle name="_방동_서상2리_내역서-최종0223" xfId="405" xr:uid="{00000000-0005-0000-0000-000094010000}"/>
    <cellStyle name="_방동_서상2리_내역서-최종0223_00-설계서,원가계산,내역서" xfId="406" xr:uid="{00000000-0005-0000-0000-000095010000}"/>
    <cellStyle name="_방동_서상2리_내역서-최종0223_설계서-1" xfId="407" xr:uid="{00000000-0005-0000-0000-000096010000}"/>
    <cellStyle name="_방동_서상2리_내역서-최종0223_설계서-1_00-설계서,원가계산,내역서" xfId="408" xr:uid="{00000000-0005-0000-0000-000097010000}"/>
    <cellStyle name="_방동_서상2리_내역서-최종0223_진해자은수량산출서(단지내)" xfId="409" xr:uid="{00000000-0005-0000-0000-000098010000}"/>
    <cellStyle name="_방동_서상2리_내역서-최종0223_진해자은수량산출서(단지내)_00-설계서,원가계산,내역서" xfId="410" xr:uid="{00000000-0005-0000-0000-000099010000}"/>
    <cellStyle name="_방동_서상2리_내역서-최종0223_진해자은수량산출서(단지내)_기초산출표-56-128-최종" xfId="411" xr:uid="{00000000-0005-0000-0000-00009A010000}"/>
    <cellStyle name="_방동_서상2리_내역서-최종0223_진해자은수량산출서(단지내)_기초산출표-56-128-최종_00-설계서,원가계산,내역서" xfId="412" xr:uid="{00000000-0005-0000-0000-00009B010000}"/>
    <cellStyle name="_방동_서상2리_내역서-최종0223_진해자은수량산출서(단지내)_기초산출표-56-128-최종_설계서-1" xfId="413" xr:uid="{00000000-0005-0000-0000-00009C010000}"/>
    <cellStyle name="_방동_서상2리_내역서-최종0223_진해자은수량산출서(단지내)_기초산출표-56-128-최종_설계서-1_00-설계서,원가계산,내역서" xfId="414" xr:uid="{00000000-0005-0000-0000-00009D010000}"/>
    <cellStyle name="_방동_서상2리_내역서-최종0223_진해자은수량산출서(단지내)_설계서-1" xfId="415" xr:uid="{00000000-0005-0000-0000-00009E010000}"/>
    <cellStyle name="_방동_서상2리_내역서-최종0223_진해자은수량산출서(단지내)_설계서-1_00-설계서,원가계산,내역서" xfId="416" xr:uid="{00000000-0005-0000-0000-00009F010000}"/>
    <cellStyle name="_방동_서상2리_내역서-최종0223_진해자은수량산출서(단지내)_취합" xfId="417" xr:uid="{00000000-0005-0000-0000-0000A0010000}"/>
    <cellStyle name="_방동_서상2리_내역서-최종0223_진해자은수량산출서(단지내)_취합_00-설계서,원가계산,내역서" xfId="418" xr:uid="{00000000-0005-0000-0000-0000A1010000}"/>
    <cellStyle name="_방동_서상2리_내역서-최종0223_진해자은수량산출서(단지내)_취합_설계서-1" xfId="419" xr:uid="{00000000-0005-0000-0000-0000A2010000}"/>
    <cellStyle name="_방동_서상2리_내역서-최종0223_진해자은수량산출서(단지내)_취합_설계서-1_00-설계서,원가계산,내역서" xfId="420" xr:uid="{00000000-0005-0000-0000-0000A3010000}"/>
    <cellStyle name="_방동_서상2리_라멘교 토공" xfId="421" xr:uid="{00000000-0005-0000-0000-0000A4010000}"/>
    <cellStyle name="_방동_서상2리_라멘교 토공_00-설계서,원가계산,내역서" xfId="422" xr:uid="{00000000-0005-0000-0000-0000A5010000}"/>
    <cellStyle name="_방동_서상2리_설계서-1" xfId="423" xr:uid="{00000000-0005-0000-0000-0000A6010000}"/>
    <cellStyle name="_방동_서상2리_설계서-1_00-설계서,원가계산,내역서" xfId="424" xr:uid="{00000000-0005-0000-0000-0000A7010000}"/>
    <cellStyle name="_방동_서상2리_율동자연공원내 화장실 보수 및 도색공사" xfId="425" xr:uid="{00000000-0005-0000-0000-0000A8010000}"/>
    <cellStyle name="_방동_서상2리_율동자연공원내 화장실 보수 및 도색공사_00-설계서,원가계산,내역서" xfId="426" xr:uid="{00000000-0005-0000-0000-0000A9010000}"/>
    <cellStyle name="_방동_서상2리_율동자연공원내 화장실 보수 및 도색공사_내역서-최종0223" xfId="427" xr:uid="{00000000-0005-0000-0000-0000AA010000}"/>
    <cellStyle name="_방동_서상2리_율동자연공원내 화장실 보수 및 도색공사_내역서-최종0223_00-설계서,원가계산,내역서" xfId="428" xr:uid="{00000000-0005-0000-0000-0000AB010000}"/>
    <cellStyle name="_방동_서상2리_율동자연공원내 화장실 보수 및 도색공사_내역서-최종0223_설계서-1" xfId="429" xr:uid="{00000000-0005-0000-0000-0000AC010000}"/>
    <cellStyle name="_방동_서상2리_율동자연공원내 화장실 보수 및 도색공사_내역서-최종0223_설계서-1_00-설계서,원가계산,내역서" xfId="430" xr:uid="{00000000-0005-0000-0000-0000AD010000}"/>
    <cellStyle name="_방동_서상2리_율동자연공원내 화장실 보수 및 도색공사_내역서-최종0223_진해자은수량산출서(단지내)" xfId="431" xr:uid="{00000000-0005-0000-0000-0000AE010000}"/>
    <cellStyle name="_방동_서상2리_율동자연공원내 화장실 보수 및 도색공사_내역서-최종0223_진해자은수량산출서(단지내)_00-설계서,원가계산,내역서" xfId="432" xr:uid="{00000000-0005-0000-0000-0000AF010000}"/>
    <cellStyle name="_방동_서상2리_율동자연공원내 화장실 보수 및 도색공사_내역서-최종0223_진해자은수량산출서(단지내)_기초산출표-56-128-최종" xfId="433" xr:uid="{00000000-0005-0000-0000-0000B0010000}"/>
    <cellStyle name="_방동_서상2리_율동자연공원내 화장실 보수 및 도색공사_내역서-최종0223_진해자은수량산출서(단지내)_기초산출표-56-128-최종_00-설계서,원가계산,내역서" xfId="434" xr:uid="{00000000-0005-0000-0000-0000B1010000}"/>
    <cellStyle name="_방동_서상2리_율동자연공원내 화장실 보수 및 도색공사_내역서-최종0223_진해자은수량산출서(단지내)_기초산출표-56-128-최종_설계서-1" xfId="435" xr:uid="{00000000-0005-0000-0000-0000B2010000}"/>
    <cellStyle name="_방동_서상2리_율동자연공원내 화장실 보수 및 도색공사_내역서-최종0223_진해자은수량산출서(단지내)_기초산출표-56-128-최종_설계서-1_00-설계서,원가계산,내역서" xfId="436" xr:uid="{00000000-0005-0000-0000-0000B3010000}"/>
    <cellStyle name="_방동_서상2리_율동자연공원내 화장실 보수 및 도색공사_내역서-최종0223_진해자은수량산출서(단지내)_설계서-1" xfId="437" xr:uid="{00000000-0005-0000-0000-0000B4010000}"/>
    <cellStyle name="_방동_서상2리_율동자연공원내 화장실 보수 및 도색공사_내역서-최종0223_진해자은수량산출서(단지내)_설계서-1_00-설계서,원가계산,내역서" xfId="438" xr:uid="{00000000-0005-0000-0000-0000B5010000}"/>
    <cellStyle name="_방동_서상2리_율동자연공원내 화장실 보수 및 도색공사_내역서-최종0223_진해자은수량산출서(단지내)_취합" xfId="439" xr:uid="{00000000-0005-0000-0000-0000B6010000}"/>
    <cellStyle name="_방동_서상2리_율동자연공원내 화장실 보수 및 도색공사_내역서-최종0223_진해자은수량산출서(단지내)_취합_00-설계서,원가계산,내역서" xfId="440" xr:uid="{00000000-0005-0000-0000-0000B7010000}"/>
    <cellStyle name="_방동_서상2리_율동자연공원내 화장실 보수 및 도색공사_내역서-최종0223_진해자은수량산출서(단지내)_취합_설계서-1" xfId="441" xr:uid="{00000000-0005-0000-0000-0000B8010000}"/>
    <cellStyle name="_방동_서상2리_율동자연공원내 화장실 보수 및 도색공사_내역서-최종0223_진해자은수량산출서(단지내)_취합_설계서-1_00-설계서,원가계산,내역서" xfId="442" xr:uid="{00000000-0005-0000-0000-0000B9010000}"/>
    <cellStyle name="_방동_서상2리_율동자연공원내 화장실 보수 및 도색공사_설계서-1" xfId="443" xr:uid="{00000000-0005-0000-0000-0000BA010000}"/>
    <cellStyle name="_방동_서상2리_율동자연공원내 화장실 보수 및 도색공사_설계서-1_00-설계서,원가계산,내역서" xfId="444" xr:uid="{00000000-0005-0000-0000-0000BB010000}"/>
    <cellStyle name="_방동_서상2리_율동자연공원내 화장실 보수 및 도색공사_진해자은수량산출서(단지내)" xfId="445" xr:uid="{00000000-0005-0000-0000-0000BC010000}"/>
    <cellStyle name="_방동_서상2리_율동자연공원내 화장실 보수 및 도색공사_진해자은수량산출서(단지내)_00-설계서,원가계산,내역서" xfId="446" xr:uid="{00000000-0005-0000-0000-0000BD010000}"/>
    <cellStyle name="_방동_서상2리_율동자연공원내 화장실 보수 및 도색공사_진해자은수량산출서(단지내)_기초산출표-56-128-최종" xfId="447" xr:uid="{00000000-0005-0000-0000-0000BE010000}"/>
    <cellStyle name="_방동_서상2리_율동자연공원내 화장실 보수 및 도색공사_진해자은수량산출서(단지내)_기초산출표-56-128-최종_00-설계서,원가계산,내역서" xfId="448" xr:uid="{00000000-0005-0000-0000-0000BF010000}"/>
    <cellStyle name="_방동_서상2리_율동자연공원내 화장실 보수 및 도색공사_진해자은수량산출서(단지내)_기초산출표-56-128-최종_설계서-1" xfId="449" xr:uid="{00000000-0005-0000-0000-0000C0010000}"/>
    <cellStyle name="_방동_서상2리_율동자연공원내 화장실 보수 및 도색공사_진해자은수량산출서(단지내)_기초산출표-56-128-최종_설계서-1_00-설계서,원가계산,내역서" xfId="450" xr:uid="{00000000-0005-0000-0000-0000C1010000}"/>
    <cellStyle name="_방동_서상2리_율동자연공원내 화장실 보수 및 도색공사_진해자은수량산출서(단지내)_설계서-1" xfId="451" xr:uid="{00000000-0005-0000-0000-0000C2010000}"/>
    <cellStyle name="_방동_서상2리_율동자연공원내 화장실 보수 및 도색공사_진해자은수량산출서(단지내)_설계서-1_00-설계서,원가계산,내역서" xfId="452" xr:uid="{00000000-0005-0000-0000-0000C3010000}"/>
    <cellStyle name="_방동_서상2리_율동자연공원내 화장실 보수 및 도색공사_진해자은수량산출서(단지내)_취합" xfId="453" xr:uid="{00000000-0005-0000-0000-0000C4010000}"/>
    <cellStyle name="_방동_서상2리_율동자연공원내 화장실 보수 및 도색공사_진해자은수량산출서(단지내)_취합_00-설계서,원가계산,내역서" xfId="454" xr:uid="{00000000-0005-0000-0000-0000C5010000}"/>
    <cellStyle name="_방동_서상2리_율동자연공원내 화장실 보수 및 도색공사_진해자은수량산출서(단지내)_취합_설계서-1" xfId="455" xr:uid="{00000000-0005-0000-0000-0000C6010000}"/>
    <cellStyle name="_방동_서상2리_율동자연공원내 화장실 보수 및 도색공사_진해자은수량산출서(단지내)_취합_설계서-1_00-설계서,원가계산,내역서" xfId="456" xr:uid="{00000000-0005-0000-0000-0000C7010000}"/>
    <cellStyle name="_방동_서상2리_율동자연공원내 휴게편의점 도색작업-할증-천정면적추가" xfId="457" xr:uid="{00000000-0005-0000-0000-0000C8010000}"/>
    <cellStyle name="_방동_서상2리_율동자연공원내 휴게편의점 도색작업-할증-천정면적추가_00-설계서,원가계산,내역서" xfId="458" xr:uid="{00000000-0005-0000-0000-0000C9010000}"/>
    <cellStyle name="_방동_서상2리_율동자연공원내 휴게편의점 도색작업-할증-천정면적추가_내역서-최종0223" xfId="459" xr:uid="{00000000-0005-0000-0000-0000CA010000}"/>
    <cellStyle name="_방동_서상2리_율동자연공원내 휴게편의점 도색작업-할증-천정면적추가_내역서-최종0223_00-설계서,원가계산,내역서" xfId="460" xr:uid="{00000000-0005-0000-0000-0000CB010000}"/>
    <cellStyle name="_방동_서상2리_율동자연공원내 휴게편의점 도색작업-할증-천정면적추가_내역서-최종0223_설계서-1" xfId="461" xr:uid="{00000000-0005-0000-0000-0000CC010000}"/>
    <cellStyle name="_방동_서상2리_율동자연공원내 휴게편의점 도색작업-할증-천정면적추가_내역서-최종0223_설계서-1_00-설계서,원가계산,내역서" xfId="462" xr:uid="{00000000-0005-0000-0000-0000CD010000}"/>
    <cellStyle name="_방동_서상2리_율동자연공원내 휴게편의점 도색작업-할증-천정면적추가_내역서-최종0223_진해자은수량산출서(단지내)" xfId="463" xr:uid="{00000000-0005-0000-0000-0000CE010000}"/>
    <cellStyle name="_방동_서상2리_율동자연공원내 휴게편의점 도색작업-할증-천정면적추가_내역서-최종0223_진해자은수량산출서(단지내)_00-설계서,원가계산,내역서" xfId="464" xr:uid="{00000000-0005-0000-0000-0000CF010000}"/>
    <cellStyle name="_방동_서상2리_율동자연공원내 휴게편의점 도색작업-할증-천정면적추가_내역서-최종0223_진해자은수량산출서(단지내)_기초산출표-56-128-최종" xfId="465" xr:uid="{00000000-0005-0000-0000-0000D0010000}"/>
    <cellStyle name="_방동_서상2리_율동자연공원내 휴게편의점 도색작업-할증-천정면적추가_내역서-최종0223_진해자은수량산출서(단지내)_기초산출표-56-128-최종_00-설계서,원가계산,내역서" xfId="466" xr:uid="{00000000-0005-0000-0000-0000D1010000}"/>
    <cellStyle name="_방동_서상2리_율동자연공원내 휴게편의점 도색작업-할증-천정면적추가_내역서-최종0223_진해자은수량산출서(단지내)_기초산출표-56-128-최종_설계서-1" xfId="467" xr:uid="{00000000-0005-0000-0000-0000D2010000}"/>
    <cellStyle name="_방동_서상2리_율동자연공원내 휴게편의점 도색작업-할증-천정면적추가_내역서-최종0223_진해자은수량산출서(단지내)_기초산출표-56-128-최종_설계서-1_00-설계서,원가계산,내역서" xfId="468" xr:uid="{00000000-0005-0000-0000-0000D3010000}"/>
    <cellStyle name="_방동_서상2리_율동자연공원내 휴게편의점 도색작업-할증-천정면적추가_내역서-최종0223_진해자은수량산출서(단지내)_설계서-1" xfId="469" xr:uid="{00000000-0005-0000-0000-0000D4010000}"/>
    <cellStyle name="_방동_서상2리_율동자연공원내 휴게편의점 도색작업-할증-천정면적추가_내역서-최종0223_진해자은수량산출서(단지내)_설계서-1_00-설계서,원가계산,내역서" xfId="470" xr:uid="{00000000-0005-0000-0000-0000D5010000}"/>
    <cellStyle name="_방동_서상2리_율동자연공원내 휴게편의점 도색작업-할증-천정면적추가_내역서-최종0223_진해자은수량산출서(단지내)_취합" xfId="471" xr:uid="{00000000-0005-0000-0000-0000D6010000}"/>
    <cellStyle name="_방동_서상2리_율동자연공원내 휴게편의점 도색작업-할증-천정면적추가_내역서-최종0223_진해자은수량산출서(단지내)_취합_00-설계서,원가계산,내역서" xfId="472" xr:uid="{00000000-0005-0000-0000-0000D7010000}"/>
    <cellStyle name="_방동_서상2리_율동자연공원내 휴게편의점 도색작업-할증-천정면적추가_내역서-최종0223_진해자은수량산출서(단지내)_취합_설계서-1" xfId="473" xr:uid="{00000000-0005-0000-0000-0000D8010000}"/>
    <cellStyle name="_방동_서상2리_율동자연공원내 휴게편의점 도색작업-할증-천정면적추가_내역서-최종0223_진해자은수량산출서(단지내)_취합_설계서-1_00-설계서,원가계산,내역서" xfId="474" xr:uid="{00000000-0005-0000-0000-0000D9010000}"/>
    <cellStyle name="_방동_서상2리_율동자연공원내 휴게편의점 도색작업-할증-천정면적추가_설계서-1" xfId="475" xr:uid="{00000000-0005-0000-0000-0000DA010000}"/>
    <cellStyle name="_방동_서상2리_율동자연공원내 휴게편의점 도색작업-할증-천정면적추가_설계서-1_00-설계서,원가계산,내역서" xfId="476" xr:uid="{00000000-0005-0000-0000-0000DB010000}"/>
    <cellStyle name="_방동_서상2리_율동자연공원내 휴게편의점 도색작업-할증-천정면적추가_진해자은수량산출서(단지내)" xfId="477" xr:uid="{00000000-0005-0000-0000-0000DC010000}"/>
    <cellStyle name="_방동_서상2리_율동자연공원내 휴게편의점 도색작업-할증-천정면적추가_진해자은수량산출서(단지내)_00-설계서,원가계산,내역서" xfId="478" xr:uid="{00000000-0005-0000-0000-0000DD010000}"/>
    <cellStyle name="_방동_서상2리_율동자연공원내 휴게편의점 도색작업-할증-천정면적추가_진해자은수량산출서(단지내)_기초산출표-56-128-최종" xfId="479" xr:uid="{00000000-0005-0000-0000-0000DE010000}"/>
    <cellStyle name="_방동_서상2리_율동자연공원내 휴게편의점 도색작업-할증-천정면적추가_진해자은수량산출서(단지내)_기초산출표-56-128-최종_00-설계서,원가계산,내역서" xfId="480" xr:uid="{00000000-0005-0000-0000-0000DF010000}"/>
    <cellStyle name="_방동_서상2리_율동자연공원내 휴게편의점 도색작업-할증-천정면적추가_진해자은수량산출서(단지내)_기초산출표-56-128-최종_설계서-1" xfId="481" xr:uid="{00000000-0005-0000-0000-0000E0010000}"/>
    <cellStyle name="_방동_서상2리_율동자연공원내 휴게편의점 도색작업-할증-천정면적추가_진해자은수량산출서(단지내)_기초산출표-56-128-최종_설계서-1_00-설계서,원가계산,내역서" xfId="482" xr:uid="{00000000-0005-0000-0000-0000E1010000}"/>
    <cellStyle name="_방동_서상2리_율동자연공원내 휴게편의점 도색작업-할증-천정면적추가_진해자은수량산출서(단지내)_설계서-1" xfId="483" xr:uid="{00000000-0005-0000-0000-0000E2010000}"/>
    <cellStyle name="_방동_서상2리_율동자연공원내 휴게편의점 도색작업-할증-천정면적추가_진해자은수량산출서(단지내)_설계서-1_00-설계서,원가계산,내역서" xfId="484" xr:uid="{00000000-0005-0000-0000-0000E3010000}"/>
    <cellStyle name="_방동_서상2리_율동자연공원내 휴게편의점 도색작업-할증-천정면적추가_진해자은수량산출서(단지내)_취합" xfId="485" xr:uid="{00000000-0005-0000-0000-0000E4010000}"/>
    <cellStyle name="_방동_서상2리_율동자연공원내 휴게편의점 도색작업-할증-천정면적추가_진해자은수량산출서(단지내)_취합_00-설계서,원가계산,내역서" xfId="486" xr:uid="{00000000-0005-0000-0000-0000E5010000}"/>
    <cellStyle name="_방동_서상2리_율동자연공원내 휴게편의점 도색작업-할증-천정면적추가_진해자은수량산출서(단지내)_취합_설계서-1" xfId="487" xr:uid="{00000000-0005-0000-0000-0000E6010000}"/>
    <cellStyle name="_방동_서상2리_율동자연공원내 휴게편의점 도색작업-할증-천정면적추가_진해자은수량산출서(단지내)_취합_설계서-1_00-설계서,원가계산,내역서" xfId="488" xr:uid="{00000000-0005-0000-0000-0000E7010000}"/>
    <cellStyle name="_방동_서상2리_이문동구간중랑천변녹화사업(수량산출서, 071127)-최종" xfId="489" xr:uid="{00000000-0005-0000-0000-0000E8010000}"/>
    <cellStyle name="_방동_서상2리_이문동구간중랑천변녹화사업(수량산출서, 071127)-최종_00-설계서,원가계산,내역서" xfId="490" xr:uid="{00000000-0005-0000-0000-0000E9010000}"/>
    <cellStyle name="_방동_서상2리_진해자은수량산출서(단지내)" xfId="491" xr:uid="{00000000-0005-0000-0000-0000EA010000}"/>
    <cellStyle name="_방동_서상2리_진해자은수량산출서(단지내)_00-설계서,원가계산,내역서" xfId="492" xr:uid="{00000000-0005-0000-0000-0000EB010000}"/>
    <cellStyle name="_방동_서상2리_진해자은수량산출서(단지내)_기초산출표-56-128-최종" xfId="493" xr:uid="{00000000-0005-0000-0000-0000EC010000}"/>
    <cellStyle name="_방동_서상2리_진해자은수량산출서(단지내)_기초산출표-56-128-최종_00-설계서,원가계산,내역서" xfId="494" xr:uid="{00000000-0005-0000-0000-0000ED010000}"/>
    <cellStyle name="_방동_서상2리_진해자은수량산출서(단지내)_기초산출표-56-128-최종_설계서-1" xfId="495" xr:uid="{00000000-0005-0000-0000-0000EE010000}"/>
    <cellStyle name="_방동_서상2리_진해자은수량산출서(단지내)_기초산출표-56-128-최종_설계서-1_00-설계서,원가계산,내역서" xfId="496" xr:uid="{00000000-0005-0000-0000-0000EF010000}"/>
    <cellStyle name="_방동_서상2리_진해자은수량산출서(단지내)_설계서-1" xfId="497" xr:uid="{00000000-0005-0000-0000-0000F0010000}"/>
    <cellStyle name="_방동_서상2리_진해자은수량산출서(단지내)_설계서-1_00-설계서,원가계산,내역서" xfId="498" xr:uid="{00000000-0005-0000-0000-0000F1010000}"/>
    <cellStyle name="_방동_서상2리_진해자은수량산출서(단지내)_취합" xfId="499" xr:uid="{00000000-0005-0000-0000-0000F2010000}"/>
    <cellStyle name="_방동_서상2리_진해자은수량산출서(단지내)_취합_00-설계서,원가계산,내역서" xfId="500" xr:uid="{00000000-0005-0000-0000-0000F3010000}"/>
    <cellStyle name="_방동_서상2리_진해자은수량산출서(단지내)_취합_설계서-1" xfId="501" xr:uid="{00000000-0005-0000-0000-0000F4010000}"/>
    <cellStyle name="_방동_서상2리_진해자은수량산출서(단지내)_취합_설계서-1_00-설계서,원가계산,내역서" xfId="502" xr:uid="{00000000-0005-0000-0000-0000F5010000}"/>
    <cellStyle name="_방동_서상2리_포장" xfId="503" xr:uid="{00000000-0005-0000-0000-0000F6010000}"/>
    <cellStyle name="_방동_서상2리_포장_00-설계서,원가계산,내역서" xfId="504" xr:uid="{00000000-0005-0000-0000-0000F7010000}"/>
    <cellStyle name="_방동_서상2리_포장_라멘교 토공" xfId="505" xr:uid="{00000000-0005-0000-0000-0000F8010000}"/>
    <cellStyle name="_방동_서상2리_포장_라멘교 토공_00-설계서,원가계산,내역서" xfId="506" xr:uid="{00000000-0005-0000-0000-0000F9010000}"/>
    <cellStyle name="_방동_설계서-1" xfId="507" xr:uid="{00000000-0005-0000-0000-0000FA010000}"/>
    <cellStyle name="_방동_설계서-1_00-설계서,원가계산,내역서" xfId="508" xr:uid="{00000000-0005-0000-0000-0000FB010000}"/>
    <cellStyle name="_방동_오항" xfId="509" xr:uid="{00000000-0005-0000-0000-0000FC010000}"/>
    <cellStyle name="_방동_오항_00-설계서,원가계산,내역서" xfId="510" xr:uid="{00000000-0005-0000-0000-0000FD010000}"/>
    <cellStyle name="_방동_오항_라멘교 토공" xfId="511" xr:uid="{00000000-0005-0000-0000-0000FE010000}"/>
    <cellStyle name="_방동_오항_라멘교 토공_00-설계서,원가계산,내역서" xfId="512" xr:uid="{00000000-0005-0000-0000-0000FF010000}"/>
    <cellStyle name="_방동_오항_포장" xfId="513" xr:uid="{00000000-0005-0000-0000-000000020000}"/>
    <cellStyle name="_방동_오항_포장_00-설계서,원가계산,내역서" xfId="514" xr:uid="{00000000-0005-0000-0000-000001020000}"/>
    <cellStyle name="_방동_오항_포장_라멘교 토공" xfId="515" xr:uid="{00000000-0005-0000-0000-000002020000}"/>
    <cellStyle name="_방동_오항_포장_라멘교 토공_00-설계서,원가계산,내역서" xfId="516" xr:uid="{00000000-0005-0000-0000-000003020000}"/>
    <cellStyle name="_방동_원평" xfId="517" xr:uid="{00000000-0005-0000-0000-000004020000}"/>
    <cellStyle name="_방동_원평_00-설계서,원가계산,내역서" xfId="518" xr:uid="{00000000-0005-0000-0000-000005020000}"/>
    <cellStyle name="_방동_원평_내역서-최종0223" xfId="519" xr:uid="{00000000-0005-0000-0000-000006020000}"/>
    <cellStyle name="_방동_원평_내역서-최종0223_00-설계서,원가계산,내역서" xfId="520" xr:uid="{00000000-0005-0000-0000-000007020000}"/>
    <cellStyle name="_방동_원평_내역서-최종0223_설계서-1" xfId="521" xr:uid="{00000000-0005-0000-0000-000008020000}"/>
    <cellStyle name="_방동_원평_내역서-최종0223_설계서-1_00-설계서,원가계산,내역서" xfId="522" xr:uid="{00000000-0005-0000-0000-000009020000}"/>
    <cellStyle name="_방동_원평_내역서-최종0223_진해자은수량산출서(단지내)" xfId="523" xr:uid="{00000000-0005-0000-0000-00000A020000}"/>
    <cellStyle name="_방동_원평_내역서-최종0223_진해자은수량산출서(단지내)_00-설계서,원가계산,내역서" xfId="524" xr:uid="{00000000-0005-0000-0000-00000B020000}"/>
    <cellStyle name="_방동_원평_내역서-최종0223_진해자은수량산출서(단지내)_기초산출표-56-128-최종" xfId="525" xr:uid="{00000000-0005-0000-0000-00000C020000}"/>
    <cellStyle name="_방동_원평_내역서-최종0223_진해자은수량산출서(단지내)_기초산출표-56-128-최종_00-설계서,원가계산,내역서" xfId="526" xr:uid="{00000000-0005-0000-0000-00000D020000}"/>
    <cellStyle name="_방동_원평_내역서-최종0223_진해자은수량산출서(단지내)_기초산출표-56-128-최종_설계서-1" xfId="527" xr:uid="{00000000-0005-0000-0000-00000E020000}"/>
    <cellStyle name="_방동_원평_내역서-최종0223_진해자은수량산출서(단지내)_기초산출표-56-128-최종_설계서-1_00-설계서,원가계산,내역서" xfId="528" xr:uid="{00000000-0005-0000-0000-00000F020000}"/>
    <cellStyle name="_방동_원평_내역서-최종0223_진해자은수량산출서(단지내)_설계서-1" xfId="529" xr:uid="{00000000-0005-0000-0000-000010020000}"/>
    <cellStyle name="_방동_원평_내역서-최종0223_진해자은수량산출서(단지내)_설계서-1_00-설계서,원가계산,내역서" xfId="530" xr:uid="{00000000-0005-0000-0000-000011020000}"/>
    <cellStyle name="_방동_원평_내역서-최종0223_진해자은수량산출서(단지내)_취합" xfId="531" xr:uid="{00000000-0005-0000-0000-000012020000}"/>
    <cellStyle name="_방동_원평_내역서-최종0223_진해자은수량산출서(단지내)_취합_00-설계서,원가계산,내역서" xfId="532" xr:uid="{00000000-0005-0000-0000-000013020000}"/>
    <cellStyle name="_방동_원평_내역서-최종0223_진해자은수량산출서(단지내)_취합_설계서-1" xfId="533" xr:uid="{00000000-0005-0000-0000-000014020000}"/>
    <cellStyle name="_방동_원평_내역서-최종0223_진해자은수량산출서(단지내)_취합_설계서-1_00-설계서,원가계산,내역서" xfId="534" xr:uid="{00000000-0005-0000-0000-000015020000}"/>
    <cellStyle name="_방동_원평_라멘교 토공" xfId="535" xr:uid="{00000000-0005-0000-0000-000016020000}"/>
    <cellStyle name="_방동_원평_라멘교 토공_00-설계서,원가계산,내역서" xfId="536" xr:uid="{00000000-0005-0000-0000-000017020000}"/>
    <cellStyle name="_방동_원평_설계서-1" xfId="537" xr:uid="{00000000-0005-0000-0000-000018020000}"/>
    <cellStyle name="_방동_원평_설계서-1_00-설계서,원가계산,내역서" xfId="538" xr:uid="{00000000-0005-0000-0000-000019020000}"/>
    <cellStyle name="_방동_원평_율동자연공원내 화장실 보수 및 도색공사" xfId="539" xr:uid="{00000000-0005-0000-0000-00001A020000}"/>
    <cellStyle name="_방동_원평_율동자연공원내 화장실 보수 및 도색공사_00-설계서,원가계산,내역서" xfId="540" xr:uid="{00000000-0005-0000-0000-00001B020000}"/>
    <cellStyle name="_방동_원평_율동자연공원내 화장실 보수 및 도색공사_내역서-최종0223" xfId="541" xr:uid="{00000000-0005-0000-0000-00001C020000}"/>
    <cellStyle name="_방동_원평_율동자연공원내 화장실 보수 및 도색공사_내역서-최종0223_00-설계서,원가계산,내역서" xfId="542" xr:uid="{00000000-0005-0000-0000-00001D020000}"/>
    <cellStyle name="_방동_원평_율동자연공원내 화장실 보수 및 도색공사_내역서-최종0223_설계서-1" xfId="543" xr:uid="{00000000-0005-0000-0000-00001E020000}"/>
    <cellStyle name="_방동_원평_율동자연공원내 화장실 보수 및 도색공사_내역서-최종0223_설계서-1_00-설계서,원가계산,내역서" xfId="544" xr:uid="{00000000-0005-0000-0000-00001F020000}"/>
    <cellStyle name="_방동_원평_율동자연공원내 화장실 보수 및 도색공사_내역서-최종0223_진해자은수량산출서(단지내)" xfId="545" xr:uid="{00000000-0005-0000-0000-000020020000}"/>
    <cellStyle name="_방동_원평_율동자연공원내 화장실 보수 및 도색공사_내역서-최종0223_진해자은수량산출서(단지내)_00-설계서,원가계산,내역서" xfId="546" xr:uid="{00000000-0005-0000-0000-000021020000}"/>
    <cellStyle name="_방동_원평_율동자연공원내 화장실 보수 및 도색공사_내역서-최종0223_진해자은수량산출서(단지내)_기초산출표-56-128-최종" xfId="547" xr:uid="{00000000-0005-0000-0000-000022020000}"/>
    <cellStyle name="_방동_원평_율동자연공원내 화장실 보수 및 도색공사_내역서-최종0223_진해자은수량산출서(단지내)_기초산출표-56-128-최종_00-설계서,원가계산,내역서" xfId="548" xr:uid="{00000000-0005-0000-0000-000023020000}"/>
    <cellStyle name="_방동_원평_율동자연공원내 화장실 보수 및 도색공사_내역서-최종0223_진해자은수량산출서(단지내)_기초산출표-56-128-최종_설계서-1" xfId="549" xr:uid="{00000000-0005-0000-0000-000024020000}"/>
    <cellStyle name="_방동_원평_율동자연공원내 화장실 보수 및 도색공사_내역서-최종0223_진해자은수량산출서(단지내)_기초산출표-56-128-최종_설계서-1_00-설계서,원가계산,내역서" xfId="550" xr:uid="{00000000-0005-0000-0000-000025020000}"/>
    <cellStyle name="_방동_원평_율동자연공원내 화장실 보수 및 도색공사_내역서-최종0223_진해자은수량산출서(단지내)_설계서-1" xfId="551" xr:uid="{00000000-0005-0000-0000-000026020000}"/>
    <cellStyle name="_방동_원평_율동자연공원내 화장실 보수 및 도색공사_내역서-최종0223_진해자은수량산출서(단지내)_설계서-1_00-설계서,원가계산,내역서" xfId="552" xr:uid="{00000000-0005-0000-0000-000027020000}"/>
    <cellStyle name="_방동_원평_율동자연공원내 화장실 보수 및 도색공사_내역서-최종0223_진해자은수량산출서(단지내)_취합" xfId="553" xr:uid="{00000000-0005-0000-0000-000028020000}"/>
    <cellStyle name="_방동_원평_율동자연공원내 화장실 보수 및 도색공사_내역서-최종0223_진해자은수량산출서(단지내)_취합_00-설계서,원가계산,내역서" xfId="554" xr:uid="{00000000-0005-0000-0000-000029020000}"/>
    <cellStyle name="_방동_원평_율동자연공원내 화장실 보수 및 도색공사_내역서-최종0223_진해자은수량산출서(단지내)_취합_설계서-1" xfId="555" xr:uid="{00000000-0005-0000-0000-00002A020000}"/>
    <cellStyle name="_방동_원평_율동자연공원내 화장실 보수 및 도색공사_내역서-최종0223_진해자은수량산출서(단지내)_취합_설계서-1_00-설계서,원가계산,내역서" xfId="556" xr:uid="{00000000-0005-0000-0000-00002B020000}"/>
    <cellStyle name="_방동_원평_율동자연공원내 화장실 보수 및 도색공사_설계서-1" xfId="557" xr:uid="{00000000-0005-0000-0000-00002C020000}"/>
    <cellStyle name="_방동_원평_율동자연공원내 화장실 보수 및 도색공사_설계서-1_00-설계서,원가계산,내역서" xfId="558" xr:uid="{00000000-0005-0000-0000-00002D020000}"/>
    <cellStyle name="_방동_원평_율동자연공원내 화장실 보수 및 도색공사_진해자은수량산출서(단지내)" xfId="559" xr:uid="{00000000-0005-0000-0000-00002E020000}"/>
    <cellStyle name="_방동_원평_율동자연공원내 화장실 보수 및 도색공사_진해자은수량산출서(단지내)_00-설계서,원가계산,내역서" xfId="560" xr:uid="{00000000-0005-0000-0000-00002F020000}"/>
    <cellStyle name="_방동_원평_율동자연공원내 화장실 보수 및 도색공사_진해자은수량산출서(단지내)_기초산출표-56-128-최종" xfId="561" xr:uid="{00000000-0005-0000-0000-000030020000}"/>
    <cellStyle name="_방동_원평_율동자연공원내 화장실 보수 및 도색공사_진해자은수량산출서(단지내)_기초산출표-56-128-최종_00-설계서,원가계산,내역서" xfId="562" xr:uid="{00000000-0005-0000-0000-000031020000}"/>
    <cellStyle name="_방동_원평_율동자연공원내 화장실 보수 및 도색공사_진해자은수량산출서(단지내)_기초산출표-56-128-최종_설계서-1" xfId="563" xr:uid="{00000000-0005-0000-0000-000032020000}"/>
    <cellStyle name="_방동_원평_율동자연공원내 화장실 보수 및 도색공사_진해자은수량산출서(단지내)_기초산출표-56-128-최종_설계서-1_00-설계서,원가계산,내역서" xfId="564" xr:uid="{00000000-0005-0000-0000-000033020000}"/>
    <cellStyle name="_방동_원평_율동자연공원내 화장실 보수 및 도색공사_진해자은수량산출서(단지내)_설계서-1" xfId="565" xr:uid="{00000000-0005-0000-0000-000034020000}"/>
    <cellStyle name="_방동_원평_율동자연공원내 화장실 보수 및 도색공사_진해자은수량산출서(단지내)_설계서-1_00-설계서,원가계산,내역서" xfId="566" xr:uid="{00000000-0005-0000-0000-000035020000}"/>
    <cellStyle name="_방동_원평_율동자연공원내 화장실 보수 및 도색공사_진해자은수량산출서(단지내)_취합" xfId="567" xr:uid="{00000000-0005-0000-0000-000036020000}"/>
    <cellStyle name="_방동_원평_율동자연공원내 화장실 보수 및 도색공사_진해자은수량산출서(단지내)_취합_00-설계서,원가계산,내역서" xfId="568" xr:uid="{00000000-0005-0000-0000-000037020000}"/>
    <cellStyle name="_방동_원평_율동자연공원내 화장실 보수 및 도색공사_진해자은수량산출서(단지내)_취합_설계서-1" xfId="569" xr:uid="{00000000-0005-0000-0000-000038020000}"/>
    <cellStyle name="_방동_원평_율동자연공원내 화장실 보수 및 도색공사_진해자은수량산출서(단지내)_취합_설계서-1_00-설계서,원가계산,내역서" xfId="570" xr:uid="{00000000-0005-0000-0000-000039020000}"/>
    <cellStyle name="_방동_원평_율동자연공원내 휴게편의점 도색작업-할증-천정면적추가" xfId="571" xr:uid="{00000000-0005-0000-0000-00003A020000}"/>
    <cellStyle name="_방동_원평_율동자연공원내 휴게편의점 도색작업-할증-천정면적추가_00-설계서,원가계산,내역서" xfId="572" xr:uid="{00000000-0005-0000-0000-00003B020000}"/>
    <cellStyle name="_방동_원평_율동자연공원내 휴게편의점 도색작업-할증-천정면적추가_내역서-최종0223" xfId="573" xr:uid="{00000000-0005-0000-0000-00003C020000}"/>
    <cellStyle name="_방동_원평_율동자연공원내 휴게편의점 도색작업-할증-천정면적추가_내역서-최종0223_00-설계서,원가계산,내역서" xfId="574" xr:uid="{00000000-0005-0000-0000-00003D020000}"/>
    <cellStyle name="_방동_원평_율동자연공원내 휴게편의점 도색작업-할증-천정면적추가_내역서-최종0223_설계서-1" xfId="575" xr:uid="{00000000-0005-0000-0000-00003E020000}"/>
    <cellStyle name="_방동_원평_율동자연공원내 휴게편의점 도색작업-할증-천정면적추가_내역서-최종0223_설계서-1_00-설계서,원가계산,내역서" xfId="576" xr:uid="{00000000-0005-0000-0000-00003F020000}"/>
    <cellStyle name="_방동_원평_율동자연공원내 휴게편의점 도색작업-할증-천정면적추가_내역서-최종0223_진해자은수량산출서(단지내)" xfId="577" xr:uid="{00000000-0005-0000-0000-000040020000}"/>
    <cellStyle name="_방동_원평_율동자연공원내 휴게편의점 도색작업-할증-천정면적추가_내역서-최종0223_진해자은수량산출서(단지내)_00-설계서,원가계산,내역서" xfId="578" xr:uid="{00000000-0005-0000-0000-000041020000}"/>
    <cellStyle name="_방동_원평_율동자연공원내 휴게편의점 도색작업-할증-천정면적추가_내역서-최종0223_진해자은수량산출서(단지내)_기초산출표-56-128-최종" xfId="579" xr:uid="{00000000-0005-0000-0000-000042020000}"/>
    <cellStyle name="_방동_원평_율동자연공원내 휴게편의점 도색작업-할증-천정면적추가_내역서-최종0223_진해자은수량산출서(단지내)_기초산출표-56-128-최종_00-설계서,원가계산,내역서" xfId="580" xr:uid="{00000000-0005-0000-0000-000043020000}"/>
    <cellStyle name="_방동_원평_율동자연공원내 휴게편의점 도색작업-할증-천정면적추가_내역서-최종0223_진해자은수량산출서(단지내)_기초산출표-56-128-최종_설계서-1" xfId="581" xr:uid="{00000000-0005-0000-0000-000044020000}"/>
    <cellStyle name="_방동_원평_율동자연공원내 휴게편의점 도색작업-할증-천정면적추가_내역서-최종0223_진해자은수량산출서(단지내)_기초산출표-56-128-최종_설계서-1_00-설계서,원가계산,내역서" xfId="582" xr:uid="{00000000-0005-0000-0000-000045020000}"/>
    <cellStyle name="_방동_원평_율동자연공원내 휴게편의점 도색작업-할증-천정면적추가_내역서-최종0223_진해자은수량산출서(단지내)_설계서-1" xfId="583" xr:uid="{00000000-0005-0000-0000-000046020000}"/>
    <cellStyle name="_방동_원평_율동자연공원내 휴게편의점 도색작업-할증-천정면적추가_내역서-최종0223_진해자은수량산출서(단지내)_설계서-1_00-설계서,원가계산,내역서" xfId="584" xr:uid="{00000000-0005-0000-0000-000047020000}"/>
    <cellStyle name="_방동_원평_율동자연공원내 휴게편의점 도색작업-할증-천정면적추가_내역서-최종0223_진해자은수량산출서(단지내)_취합" xfId="585" xr:uid="{00000000-0005-0000-0000-000048020000}"/>
    <cellStyle name="_방동_원평_율동자연공원내 휴게편의점 도색작업-할증-천정면적추가_내역서-최종0223_진해자은수량산출서(단지내)_취합_00-설계서,원가계산,내역서" xfId="586" xr:uid="{00000000-0005-0000-0000-000049020000}"/>
    <cellStyle name="_방동_원평_율동자연공원내 휴게편의점 도색작업-할증-천정면적추가_내역서-최종0223_진해자은수량산출서(단지내)_취합_설계서-1" xfId="587" xr:uid="{00000000-0005-0000-0000-00004A020000}"/>
    <cellStyle name="_방동_원평_율동자연공원내 휴게편의점 도색작업-할증-천정면적추가_내역서-최종0223_진해자은수량산출서(단지내)_취합_설계서-1_00-설계서,원가계산,내역서" xfId="588" xr:uid="{00000000-0005-0000-0000-00004B020000}"/>
    <cellStyle name="_방동_원평_율동자연공원내 휴게편의점 도색작업-할증-천정면적추가_설계서-1" xfId="589" xr:uid="{00000000-0005-0000-0000-00004C020000}"/>
    <cellStyle name="_방동_원평_율동자연공원내 휴게편의점 도색작업-할증-천정면적추가_설계서-1_00-설계서,원가계산,내역서" xfId="590" xr:uid="{00000000-0005-0000-0000-00004D020000}"/>
    <cellStyle name="_방동_원평_율동자연공원내 휴게편의점 도색작업-할증-천정면적추가_진해자은수량산출서(단지내)" xfId="591" xr:uid="{00000000-0005-0000-0000-00004E020000}"/>
    <cellStyle name="_방동_원평_율동자연공원내 휴게편의점 도색작업-할증-천정면적추가_진해자은수량산출서(단지내)_00-설계서,원가계산,내역서" xfId="592" xr:uid="{00000000-0005-0000-0000-00004F020000}"/>
    <cellStyle name="_방동_원평_율동자연공원내 휴게편의점 도색작업-할증-천정면적추가_진해자은수량산출서(단지내)_기초산출표-56-128-최종" xfId="593" xr:uid="{00000000-0005-0000-0000-000050020000}"/>
    <cellStyle name="_방동_원평_율동자연공원내 휴게편의점 도색작업-할증-천정면적추가_진해자은수량산출서(단지내)_기초산출표-56-128-최종_00-설계서,원가계산,내역서" xfId="594" xr:uid="{00000000-0005-0000-0000-000051020000}"/>
    <cellStyle name="_방동_원평_율동자연공원내 휴게편의점 도색작업-할증-천정면적추가_진해자은수량산출서(단지내)_기초산출표-56-128-최종_설계서-1" xfId="595" xr:uid="{00000000-0005-0000-0000-000052020000}"/>
    <cellStyle name="_방동_원평_율동자연공원내 휴게편의점 도색작업-할증-천정면적추가_진해자은수량산출서(단지내)_기초산출표-56-128-최종_설계서-1_00-설계서,원가계산,내역서" xfId="596" xr:uid="{00000000-0005-0000-0000-000053020000}"/>
    <cellStyle name="_방동_원평_율동자연공원내 휴게편의점 도색작업-할증-천정면적추가_진해자은수량산출서(단지내)_설계서-1" xfId="597" xr:uid="{00000000-0005-0000-0000-000054020000}"/>
    <cellStyle name="_방동_원평_율동자연공원내 휴게편의점 도색작업-할증-천정면적추가_진해자은수량산출서(단지내)_설계서-1_00-설계서,원가계산,내역서" xfId="598" xr:uid="{00000000-0005-0000-0000-000055020000}"/>
    <cellStyle name="_방동_원평_율동자연공원내 휴게편의점 도색작업-할증-천정면적추가_진해자은수량산출서(단지내)_취합" xfId="599" xr:uid="{00000000-0005-0000-0000-000056020000}"/>
    <cellStyle name="_방동_원평_율동자연공원내 휴게편의점 도색작업-할증-천정면적추가_진해자은수량산출서(단지내)_취합_00-설계서,원가계산,내역서" xfId="600" xr:uid="{00000000-0005-0000-0000-000057020000}"/>
    <cellStyle name="_방동_원평_율동자연공원내 휴게편의점 도색작업-할증-천정면적추가_진해자은수량산출서(단지내)_취합_설계서-1" xfId="601" xr:uid="{00000000-0005-0000-0000-000058020000}"/>
    <cellStyle name="_방동_원평_율동자연공원내 휴게편의점 도색작업-할증-천정면적추가_진해자은수량산출서(단지내)_취합_설계서-1_00-설계서,원가계산,내역서" xfId="602" xr:uid="{00000000-0005-0000-0000-000059020000}"/>
    <cellStyle name="_방동_원평_이문동구간중랑천변녹화사업(수량산출서, 071127)-최종" xfId="603" xr:uid="{00000000-0005-0000-0000-00005A020000}"/>
    <cellStyle name="_방동_원평_이문동구간중랑천변녹화사업(수량산출서, 071127)-최종_00-설계서,원가계산,내역서" xfId="604" xr:uid="{00000000-0005-0000-0000-00005B020000}"/>
    <cellStyle name="_방동_원평_진해자은수량산출서(단지내)" xfId="605" xr:uid="{00000000-0005-0000-0000-00005C020000}"/>
    <cellStyle name="_방동_원평_진해자은수량산출서(단지내)_00-설계서,원가계산,내역서" xfId="606" xr:uid="{00000000-0005-0000-0000-00005D020000}"/>
    <cellStyle name="_방동_원평_진해자은수량산출서(단지내)_기초산출표-56-128-최종" xfId="607" xr:uid="{00000000-0005-0000-0000-00005E020000}"/>
    <cellStyle name="_방동_원평_진해자은수량산출서(단지내)_기초산출표-56-128-최종_00-설계서,원가계산,내역서" xfId="608" xr:uid="{00000000-0005-0000-0000-00005F020000}"/>
    <cellStyle name="_방동_원평_진해자은수량산출서(단지내)_기초산출표-56-128-최종_설계서-1" xfId="609" xr:uid="{00000000-0005-0000-0000-000060020000}"/>
    <cellStyle name="_방동_원평_진해자은수량산출서(단지내)_기초산출표-56-128-최종_설계서-1_00-설계서,원가계산,내역서" xfId="610" xr:uid="{00000000-0005-0000-0000-000061020000}"/>
    <cellStyle name="_방동_원평_진해자은수량산출서(단지내)_설계서-1" xfId="611" xr:uid="{00000000-0005-0000-0000-000062020000}"/>
    <cellStyle name="_방동_원평_진해자은수량산출서(단지내)_설계서-1_00-설계서,원가계산,내역서" xfId="612" xr:uid="{00000000-0005-0000-0000-000063020000}"/>
    <cellStyle name="_방동_원평_진해자은수량산출서(단지내)_취합" xfId="613" xr:uid="{00000000-0005-0000-0000-000064020000}"/>
    <cellStyle name="_방동_원평_진해자은수량산출서(단지내)_취합_00-설계서,원가계산,내역서" xfId="614" xr:uid="{00000000-0005-0000-0000-000065020000}"/>
    <cellStyle name="_방동_원평_진해자은수량산출서(단지내)_취합_설계서-1" xfId="615" xr:uid="{00000000-0005-0000-0000-000066020000}"/>
    <cellStyle name="_방동_원평_진해자은수량산출서(단지내)_취합_설계서-1_00-설계서,원가계산,내역서" xfId="616" xr:uid="{00000000-0005-0000-0000-000067020000}"/>
    <cellStyle name="_방동_원평_포장" xfId="617" xr:uid="{00000000-0005-0000-0000-000068020000}"/>
    <cellStyle name="_방동_원평_포장_00-설계서,원가계산,내역서" xfId="618" xr:uid="{00000000-0005-0000-0000-000069020000}"/>
    <cellStyle name="_방동_원평_포장_라멘교 토공" xfId="619" xr:uid="{00000000-0005-0000-0000-00006A020000}"/>
    <cellStyle name="_방동_원평_포장_라멘교 토공_00-설계서,원가계산,내역서" xfId="620" xr:uid="{00000000-0005-0000-0000-00006B020000}"/>
    <cellStyle name="_방동_율동자연공원내 화장실 보수 및 도색공사" xfId="621" xr:uid="{00000000-0005-0000-0000-00006C020000}"/>
    <cellStyle name="_방동_율동자연공원내 화장실 보수 및 도색공사_00-설계서,원가계산,내역서" xfId="622" xr:uid="{00000000-0005-0000-0000-00006D020000}"/>
    <cellStyle name="_방동_율동자연공원내 화장실 보수 및 도색공사_내역서-최종0223" xfId="623" xr:uid="{00000000-0005-0000-0000-00006E020000}"/>
    <cellStyle name="_방동_율동자연공원내 화장실 보수 및 도색공사_내역서-최종0223_00-설계서,원가계산,내역서" xfId="624" xr:uid="{00000000-0005-0000-0000-00006F020000}"/>
    <cellStyle name="_방동_율동자연공원내 화장실 보수 및 도색공사_내역서-최종0223_설계서-1" xfId="625" xr:uid="{00000000-0005-0000-0000-000070020000}"/>
    <cellStyle name="_방동_율동자연공원내 화장실 보수 및 도색공사_내역서-최종0223_설계서-1_00-설계서,원가계산,내역서" xfId="626" xr:uid="{00000000-0005-0000-0000-000071020000}"/>
    <cellStyle name="_방동_율동자연공원내 화장실 보수 및 도색공사_내역서-최종0223_진해자은수량산출서(단지내)" xfId="627" xr:uid="{00000000-0005-0000-0000-000072020000}"/>
    <cellStyle name="_방동_율동자연공원내 화장실 보수 및 도색공사_내역서-최종0223_진해자은수량산출서(단지내)_00-설계서,원가계산,내역서" xfId="628" xr:uid="{00000000-0005-0000-0000-000073020000}"/>
    <cellStyle name="_방동_율동자연공원내 화장실 보수 및 도색공사_내역서-최종0223_진해자은수량산출서(단지내)_기초산출표-56-128-최종" xfId="629" xr:uid="{00000000-0005-0000-0000-000074020000}"/>
    <cellStyle name="_방동_율동자연공원내 화장실 보수 및 도색공사_내역서-최종0223_진해자은수량산출서(단지내)_기초산출표-56-128-최종_00-설계서,원가계산,내역서" xfId="630" xr:uid="{00000000-0005-0000-0000-000075020000}"/>
    <cellStyle name="_방동_율동자연공원내 화장실 보수 및 도색공사_내역서-최종0223_진해자은수량산출서(단지내)_기초산출표-56-128-최종_설계서-1" xfId="631" xr:uid="{00000000-0005-0000-0000-000076020000}"/>
    <cellStyle name="_방동_율동자연공원내 화장실 보수 및 도색공사_내역서-최종0223_진해자은수량산출서(단지내)_기초산출표-56-128-최종_설계서-1_00-설계서,원가계산,내역서" xfId="632" xr:uid="{00000000-0005-0000-0000-000077020000}"/>
    <cellStyle name="_방동_율동자연공원내 화장실 보수 및 도색공사_내역서-최종0223_진해자은수량산출서(단지내)_설계서-1" xfId="633" xr:uid="{00000000-0005-0000-0000-000078020000}"/>
    <cellStyle name="_방동_율동자연공원내 화장실 보수 및 도색공사_내역서-최종0223_진해자은수량산출서(단지내)_설계서-1_00-설계서,원가계산,내역서" xfId="634" xr:uid="{00000000-0005-0000-0000-000079020000}"/>
    <cellStyle name="_방동_율동자연공원내 화장실 보수 및 도색공사_내역서-최종0223_진해자은수량산출서(단지내)_취합" xfId="635" xr:uid="{00000000-0005-0000-0000-00007A020000}"/>
    <cellStyle name="_방동_율동자연공원내 화장실 보수 및 도색공사_내역서-최종0223_진해자은수량산출서(단지내)_취합_00-설계서,원가계산,내역서" xfId="636" xr:uid="{00000000-0005-0000-0000-00007B020000}"/>
    <cellStyle name="_방동_율동자연공원내 화장실 보수 및 도색공사_내역서-최종0223_진해자은수량산출서(단지내)_취합_설계서-1" xfId="637" xr:uid="{00000000-0005-0000-0000-00007C020000}"/>
    <cellStyle name="_방동_율동자연공원내 화장실 보수 및 도색공사_내역서-최종0223_진해자은수량산출서(단지내)_취합_설계서-1_00-설계서,원가계산,내역서" xfId="638" xr:uid="{00000000-0005-0000-0000-00007D020000}"/>
    <cellStyle name="_방동_율동자연공원내 화장실 보수 및 도색공사_설계서-1" xfId="639" xr:uid="{00000000-0005-0000-0000-00007E020000}"/>
    <cellStyle name="_방동_율동자연공원내 화장실 보수 및 도색공사_설계서-1_00-설계서,원가계산,내역서" xfId="640" xr:uid="{00000000-0005-0000-0000-00007F020000}"/>
    <cellStyle name="_방동_율동자연공원내 화장실 보수 및 도색공사_진해자은수량산출서(단지내)" xfId="641" xr:uid="{00000000-0005-0000-0000-000080020000}"/>
    <cellStyle name="_방동_율동자연공원내 화장실 보수 및 도색공사_진해자은수량산출서(단지내)_00-설계서,원가계산,내역서" xfId="642" xr:uid="{00000000-0005-0000-0000-000081020000}"/>
    <cellStyle name="_방동_율동자연공원내 화장실 보수 및 도색공사_진해자은수량산출서(단지내)_기초산출표-56-128-최종" xfId="643" xr:uid="{00000000-0005-0000-0000-000082020000}"/>
    <cellStyle name="_방동_율동자연공원내 화장실 보수 및 도색공사_진해자은수량산출서(단지내)_기초산출표-56-128-최종_00-설계서,원가계산,내역서" xfId="644" xr:uid="{00000000-0005-0000-0000-000083020000}"/>
    <cellStyle name="_방동_율동자연공원내 화장실 보수 및 도색공사_진해자은수량산출서(단지내)_기초산출표-56-128-최종_설계서-1" xfId="645" xr:uid="{00000000-0005-0000-0000-000084020000}"/>
    <cellStyle name="_방동_율동자연공원내 화장실 보수 및 도색공사_진해자은수량산출서(단지내)_기초산출표-56-128-최종_설계서-1_00-설계서,원가계산,내역서" xfId="646" xr:uid="{00000000-0005-0000-0000-000085020000}"/>
    <cellStyle name="_방동_율동자연공원내 화장실 보수 및 도색공사_진해자은수량산출서(단지내)_설계서-1" xfId="647" xr:uid="{00000000-0005-0000-0000-000086020000}"/>
    <cellStyle name="_방동_율동자연공원내 화장실 보수 및 도색공사_진해자은수량산출서(단지내)_설계서-1_00-설계서,원가계산,내역서" xfId="648" xr:uid="{00000000-0005-0000-0000-000087020000}"/>
    <cellStyle name="_방동_율동자연공원내 화장실 보수 및 도색공사_진해자은수량산출서(단지내)_취합" xfId="649" xr:uid="{00000000-0005-0000-0000-000088020000}"/>
    <cellStyle name="_방동_율동자연공원내 화장실 보수 및 도색공사_진해자은수량산출서(단지내)_취합_00-설계서,원가계산,내역서" xfId="650" xr:uid="{00000000-0005-0000-0000-000089020000}"/>
    <cellStyle name="_방동_율동자연공원내 화장실 보수 및 도색공사_진해자은수량산출서(단지내)_취합_설계서-1" xfId="651" xr:uid="{00000000-0005-0000-0000-00008A020000}"/>
    <cellStyle name="_방동_율동자연공원내 화장실 보수 및 도색공사_진해자은수량산출서(단지내)_취합_설계서-1_00-설계서,원가계산,내역서" xfId="652" xr:uid="{00000000-0005-0000-0000-00008B020000}"/>
    <cellStyle name="_방동_율동자연공원내 휴게편의점 도색작업-할증-천정면적추가" xfId="653" xr:uid="{00000000-0005-0000-0000-00008C020000}"/>
    <cellStyle name="_방동_율동자연공원내 휴게편의점 도색작업-할증-천정면적추가_00-설계서,원가계산,내역서" xfId="654" xr:uid="{00000000-0005-0000-0000-00008D020000}"/>
    <cellStyle name="_방동_율동자연공원내 휴게편의점 도색작업-할증-천정면적추가_내역서-최종0223" xfId="655" xr:uid="{00000000-0005-0000-0000-00008E020000}"/>
    <cellStyle name="_방동_율동자연공원내 휴게편의점 도색작업-할증-천정면적추가_내역서-최종0223_00-설계서,원가계산,내역서" xfId="656" xr:uid="{00000000-0005-0000-0000-00008F020000}"/>
    <cellStyle name="_방동_율동자연공원내 휴게편의점 도색작업-할증-천정면적추가_내역서-최종0223_설계서-1" xfId="657" xr:uid="{00000000-0005-0000-0000-000090020000}"/>
    <cellStyle name="_방동_율동자연공원내 휴게편의점 도색작업-할증-천정면적추가_내역서-최종0223_설계서-1_00-설계서,원가계산,내역서" xfId="658" xr:uid="{00000000-0005-0000-0000-000091020000}"/>
    <cellStyle name="_방동_율동자연공원내 휴게편의점 도색작업-할증-천정면적추가_내역서-최종0223_진해자은수량산출서(단지내)" xfId="659" xr:uid="{00000000-0005-0000-0000-000092020000}"/>
    <cellStyle name="_방동_율동자연공원내 휴게편의점 도색작업-할증-천정면적추가_내역서-최종0223_진해자은수량산출서(단지내)_00-설계서,원가계산,내역서" xfId="660" xr:uid="{00000000-0005-0000-0000-000093020000}"/>
    <cellStyle name="_방동_율동자연공원내 휴게편의점 도색작업-할증-천정면적추가_내역서-최종0223_진해자은수량산출서(단지내)_기초산출표-56-128-최종" xfId="661" xr:uid="{00000000-0005-0000-0000-000094020000}"/>
    <cellStyle name="_방동_율동자연공원내 휴게편의점 도색작업-할증-천정면적추가_내역서-최종0223_진해자은수량산출서(단지내)_기초산출표-56-128-최종_00-설계서,원가계산,내역서" xfId="662" xr:uid="{00000000-0005-0000-0000-000095020000}"/>
    <cellStyle name="_방동_율동자연공원내 휴게편의점 도색작업-할증-천정면적추가_내역서-최종0223_진해자은수량산출서(단지내)_기초산출표-56-128-최종_설계서-1" xfId="663" xr:uid="{00000000-0005-0000-0000-000096020000}"/>
    <cellStyle name="_방동_율동자연공원내 휴게편의점 도색작업-할증-천정면적추가_내역서-최종0223_진해자은수량산출서(단지내)_기초산출표-56-128-최종_설계서-1_00-설계서,원가계산,내역서" xfId="664" xr:uid="{00000000-0005-0000-0000-000097020000}"/>
    <cellStyle name="_방동_율동자연공원내 휴게편의점 도색작업-할증-천정면적추가_내역서-최종0223_진해자은수량산출서(단지내)_설계서-1" xfId="665" xr:uid="{00000000-0005-0000-0000-000098020000}"/>
    <cellStyle name="_방동_율동자연공원내 휴게편의점 도색작업-할증-천정면적추가_내역서-최종0223_진해자은수량산출서(단지내)_설계서-1_00-설계서,원가계산,내역서" xfId="666" xr:uid="{00000000-0005-0000-0000-000099020000}"/>
    <cellStyle name="_방동_율동자연공원내 휴게편의점 도색작업-할증-천정면적추가_내역서-최종0223_진해자은수량산출서(단지내)_취합" xfId="667" xr:uid="{00000000-0005-0000-0000-00009A020000}"/>
    <cellStyle name="_방동_율동자연공원내 휴게편의점 도색작업-할증-천정면적추가_내역서-최종0223_진해자은수량산출서(단지내)_취합_00-설계서,원가계산,내역서" xfId="668" xr:uid="{00000000-0005-0000-0000-00009B020000}"/>
    <cellStyle name="_방동_율동자연공원내 휴게편의점 도색작업-할증-천정면적추가_내역서-최종0223_진해자은수량산출서(단지내)_취합_설계서-1" xfId="669" xr:uid="{00000000-0005-0000-0000-00009C020000}"/>
    <cellStyle name="_방동_율동자연공원내 휴게편의점 도색작업-할증-천정면적추가_내역서-최종0223_진해자은수량산출서(단지내)_취합_설계서-1_00-설계서,원가계산,내역서" xfId="670" xr:uid="{00000000-0005-0000-0000-00009D020000}"/>
    <cellStyle name="_방동_율동자연공원내 휴게편의점 도색작업-할증-천정면적추가_설계서-1" xfId="671" xr:uid="{00000000-0005-0000-0000-00009E020000}"/>
    <cellStyle name="_방동_율동자연공원내 휴게편의점 도색작업-할증-천정면적추가_설계서-1_00-설계서,원가계산,내역서" xfId="672" xr:uid="{00000000-0005-0000-0000-00009F020000}"/>
    <cellStyle name="_방동_율동자연공원내 휴게편의점 도색작업-할증-천정면적추가_진해자은수량산출서(단지내)" xfId="673" xr:uid="{00000000-0005-0000-0000-0000A0020000}"/>
    <cellStyle name="_방동_율동자연공원내 휴게편의점 도색작업-할증-천정면적추가_진해자은수량산출서(단지내)_00-설계서,원가계산,내역서" xfId="674" xr:uid="{00000000-0005-0000-0000-0000A1020000}"/>
    <cellStyle name="_방동_율동자연공원내 휴게편의점 도색작업-할증-천정면적추가_진해자은수량산출서(단지내)_기초산출표-56-128-최종" xfId="675" xr:uid="{00000000-0005-0000-0000-0000A2020000}"/>
    <cellStyle name="_방동_율동자연공원내 휴게편의점 도색작업-할증-천정면적추가_진해자은수량산출서(단지내)_기초산출표-56-128-최종_00-설계서,원가계산,내역서" xfId="676" xr:uid="{00000000-0005-0000-0000-0000A3020000}"/>
    <cellStyle name="_방동_율동자연공원내 휴게편의점 도색작업-할증-천정면적추가_진해자은수량산출서(단지내)_기초산출표-56-128-최종_설계서-1" xfId="677" xr:uid="{00000000-0005-0000-0000-0000A4020000}"/>
    <cellStyle name="_방동_율동자연공원내 휴게편의점 도색작업-할증-천정면적추가_진해자은수량산출서(단지내)_기초산출표-56-128-최종_설계서-1_00-설계서,원가계산,내역서" xfId="678" xr:uid="{00000000-0005-0000-0000-0000A5020000}"/>
    <cellStyle name="_방동_율동자연공원내 휴게편의점 도색작업-할증-천정면적추가_진해자은수량산출서(단지내)_설계서-1" xfId="679" xr:uid="{00000000-0005-0000-0000-0000A6020000}"/>
    <cellStyle name="_방동_율동자연공원내 휴게편의점 도색작업-할증-천정면적추가_진해자은수량산출서(단지내)_설계서-1_00-설계서,원가계산,내역서" xfId="680" xr:uid="{00000000-0005-0000-0000-0000A7020000}"/>
    <cellStyle name="_방동_율동자연공원내 휴게편의점 도색작업-할증-천정면적추가_진해자은수량산출서(단지내)_취합" xfId="681" xr:uid="{00000000-0005-0000-0000-0000A8020000}"/>
    <cellStyle name="_방동_율동자연공원내 휴게편의점 도색작업-할증-천정면적추가_진해자은수량산출서(단지내)_취합_00-설계서,원가계산,내역서" xfId="682" xr:uid="{00000000-0005-0000-0000-0000A9020000}"/>
    <cellStyle name="_방동_율동자연공원내 휴게편의점 도색작업-할증-천정면적추가_진해자은수량산출서(단지내)_취합_설계서-1" xfId="683" xr:uid="{00000000-0005-0000-0000-0000AA020000}"/>
    <cellStyle name="_방동_율동자연공원내 휴게편의점 도색작업-할증-천정면적추가_진해자은수량산출서(단지내)_취합_설계서-1_00-설계서,원가계산,내역서" xfId="684" xr:uid="{00000000-0005-0000-0000-0000AB020000}"/>
    <cellStyle name="_방동_이문동구간중랑천변녹화사업(수량산출서, 071127)-최종" xfId="685" xr:uid="{00000000-0005-0000-0000-0000AC020000}"/>
    <cellStyle name="_방동_이문동구간중랑천변녹화사업(수량산출서, 071127)-최종_00-설계서,원가계산,내역서" xfId="686" xr:uid="{00000000-0005-0000-0000-0000AD020000}"/>
    <cellStyle name="_방동_진해자은수량산출서(단지내)" xfId="687" xr:uid="{00000000-0005-0000-0000-0000AE020000}"/>
    <cellStyle name="_방동_진해자은수량산출서(단지내)_00-설계서,원가계산,내역서" xfId="688" xr:uid="{00000000-0005-0000-0000-0000AF020000}"/>
    <cellStyle name="_방동_진해자은수량산출서(단지내)_기초산출표-56-128-최종" xfId="689" xr:uid="{00000000-0005-0000-0000-0000B0020000}"/>
    <cellStyle name="_방동_진해자은수량산출서(단지내)_기초산출표-56-128-최종_00-설계서,원가계산,내역서" xfId="690" xr:uid="{00000000-0005-0000-0000-0000B1020000}"/>
    <cellStyle name="_방동_진해자은수량산출서(단지내)_기초산출표-56-128-최종_설계서-1" xfId="691" xr:uid="{00000000-0005-0000-0000-0000B2020000}"/>
    <cellStyle name="_방동_진해자은수량산출서(단지내)_기초산출표-56-128-최종_설계서-1_00-설계서,원가계산,내역서" xfId="692" xr:uid="{00000000-0005-0000-0000-0000B3020000}"/>
    <cellStyle name="_방동_진해자은수량산출서(단지내)_설계서-1" xfId="693" xr:uid="{00000000-0005-0000-0000-0000B4020000}"/>
    <cellStyle name="_방동_진해자은수량산출서(단지내)_설계서-1_00-설계서,원가계산,내역서" xfId="694" xr:uid="{00000000-0005-0000-0000-0000B5020000}"/>
    <cellStyle name="_방동_진해자은수량산출서(단지내)_취합" xfId="695" xr:uid="{00000000-0005-0000-0000-0000B6020000}"/>
    <cellStyle name="_방동_진해자은수량산출서(단지내)_취합_00-설계서,원가계산,내역서" xfId="696" xr:uid="{00000000-0005-0000-0000-0000B7020000}"/>
    <cellStyle name="_방동_진해자은수량산출서(단지내)_취합_설계서-1" xfId="697" xr:uid="{00000000-0005-0000-0000-0000B8020000}"/>
    <cellStyle name="_방동_진해자은수량산출서(단지내)_취합_설계서-1_00-설계서,원가계산,내역서" xfId="698" xr:uid="{00000000-0005-0000-0000-0000B9020000}"/>
    <cellStyle name="_방동_추곡" xfId="699" xr:uid="{00000000-0005-0000-0000-0000BA020000}"/>
    <cellStyle name="_방동_추곡_00-설계서,원가계산,내역서" xfId="700" xr:uid="{00000000-0005-0000-0000-0000BB020000}"/>
    <cellStyle name="_방동_추곡_내역서-최종0223" xfId="701" xr:uid="{00000000-0005-0000-0000-0000BC020000}"/>
    <cellStyle name="_방동_추곡_내역서-최종0223_00-설계서,원가계산,내역서" xfId="702" xr:uid="{00000000-0005-0000-0000-0000BD020000}"/>
    <cellStyle name="_방동_추곡_내역서-최종0223_설계서-1" xfId="703" xr:uid="{00000000-0005-0000-0000-0000BE020000}"/>
    <cellStyle name="_방동_추곡_내역서-최종0223_설계서-1_00-설계서,원가계산,내역서" xfId="704" xr:uid="{00000000-0005-0000-0000-0000BF020000}"/>
    <cellStyle name="_방동_추곡_내역서-최종0223_진해자은수량산출서(단지내)" xfId="705" xr:uid="{00000000-0005-0000-0000-0000C0020000}"/>
    <cellStyle name="_방동_추곡_내역서-최종0223_진해자은수량산출서(단지내)_00-설계서,원가계산,내역서" xfId="706" xr:uid="{00000000-0005-0000-0000-0000C1020000}"/>
    <cellStyle name="_방동_추곡_내역서-최종0223_진해자은수량산출서(단지내)_기초산출표-56-128-최종" xfId="707" xr:uid="{00000000-0005-0000-0000-0000C2020000}"/>
    <cellStyle name="_방동_추곡_내역서-최종0223_진해자은수량산출서(단지내)_기초산출표-56-128-최종_00-설계서,원가계산,내역서" xfId="708" xr:uid="{00000000-0005-0000-0000-0000C3020000}"/>
    <cellStyle name="_방동_추곡_내역서-최종0223_진해자은수량산출서(단지내)_기초산출표-56-128-최종_설계서-1" xfId="709" xr:uid="{00000000-0005-0000-0000-0000C4020000}"/>
    <cellStyle name="_방동_추곡_내역서-최종0223_진해자은수량산출서(단지내)_기초산출표-56-128-최종_설계서-1_00-설계서,원가계산,내역서" xfId="710" xr:uid="{00000000-0005-0000-0000-0000C5020000}"/>
    <cellStyle name="_방동_추곡_내역서-최종0223_진해자은수량산출서(단지내)_설계서-1" xfId="711" xr:uid="{00000000-0005-0000-0000-0000C6020000}"/>
    <cellStyle name="_방동_추곡_내역서-최종0223_진해자은수량산출서(단지내)_설계서-1_00-설계서,원가계산,내역서" xfId="712" xr:uid="{00000000-0005-0000-0000-0000C7020000}"/>
    <cellStyle name="_방동_추곡_내역서-최종0223_진해자은수량산출서(단지내)_취합" xfId="713" xr:uid="{00000000-0005-0000-0000-0000C8020000}"/>
    <cellStyle name="_방동_추곡_내역서-최종0223_진해자은수량산출서(단지내)_취합_00-설계서,원가계산,내역서" xfId="714" xr:uid="{00000000-0005-0000-0000-0000C9020000}"/>
    <cellStyle name="_방동_추곡_내역서-최종0223_진해자은수량산출서(단지내)_취합_설계서-1" xfId="715" xr:uid="{00000000-0005-0000-0000-0000CA020000}"/>
    <cellStyle name="_방동_추곡_내역서-최종0223_진해자은수량산출서(단지내)_취합_설계서-1_00-설계서,원가계산,내역서" xfId="716" xr:uid="{00000000-0005-0000-0000-0000CB020000}"/>
    <cellStyle name="_방동_추곡_라멘교 토공" xfId="717" xr:uid="{00000000-0005-0000-0000-0000CC020000}"/>
    <cellStyle name="_방동_추곡_라멘교 토공_00-설계서,원가계산,내역서" xfId="718" xr:uid="{00000000-0005-0000-0000-0000CD020000}"/>
    <cellStyle name="_방동_추곡_설계서-1" xfId="719" xr:uid="{00000000-0005-0000-0000-0000CE020000}"/>
    <cellStyle name="_방동_추곡_설계서-1_00-설계서,원가계산,내역서" xfId="720" xr:uid="{00000000-0005-0000-0000-0000CF020000}"/>
    <cellStyle name="_방동_추곡_율동자연공원내 화장실 보수 및 도색공사" xfId="721" xr:uid="{00000000-0005-0000-0000-0000D0020000}"/>
    <cellStyle name="_방동_추곡_율동자연공원내 화장실 보수 및 도색공사_00-설계서,원가계산,내역서" xfId="722" xr:uid="{00000000-0005-0000-0000-0000D1020000}"/>
    <cellStyle name="_방동_추곡_율동자연공원내 화장실 보수 및 도색공사_내역서-최종0223" xfId="723" xr:uid="{00000000-0005-0000-0000-0000D2020000}"/>
    <cellStyle name="_방동_추곡_율동자연공원내 화장실 보수 및 도색공사_내역서-최종0223_00-설계서,원가계산,내역서" xfId="724" xr:uid="{00000000-0005-0000-0000-0000D3020000}"/>
    <cellStyle name="_방동_추곡_율동자연공원내 화장실 보수 및 도색공사_내역서-최종0223_설계서-1" xfId="725" xr:uid="{00000000-0005-0000-0000-0000D4020000}"/>
    <cellStyle name="_방동_추곡_율동자연공원내 화장실 보수 및 도색공사_내역서-최종0223_설계서-1_00-설계서,원가계산,내역서" xfId="726" xr:uid="{00000000-0005-0000-0000-0000D5020000}"/>
    <cellStyle name="_방동_추곡_율동자연공원내 화장실 보수 및 도색공사_내역서-최종0223_진해자은수량산출서(단지내)" xfId="727" xr:uid="{00000000-0005-0000-0000-0000D6020000}"/>
    <cellStyle name="_방동_추곡_율동자연공원내 화장실 보수 및 도색공사_내역서-최종0223_진해자은수량산출서(단지내)_00-설계서,원가계산,내역서" xfId="728" xr:uid="{00000000-0005-0000-0000-0000D7020000}"/>
    <cellStyle name="_방동_추곡_율동자연공원내 화장실 보수 및 도색공사_내역서-최종0223_진해자은수량산출서(단지내)_기초산출표-56-128-최종" xfId="729" xr:uid="{00000000-0005-0000-0000-0000D8020000}"/>
    <cellStyle name="_방동_추곡_율동자연공원내 화장실 보수 및 도색공사_내역서-최종0223_진해자은수량산출서(단지내)_기초산출표-56-128-최종_00-설계서,원가계산,내역서" xfId="730" xr:uid="{00000000-0005-0000-0000-0000D9020000}"/>
    <cellStyle name="_방동_추곡_율동자연공원내 화장실 보수 및 도색공사_내역서-최종0223_진해자은수량산출서(단지내)_기초산출표-56-128-최종_설계서-1" xfId="731" xr:uid="{00000000-0005-0000-0000-0000DA020000}"/>
    <cellStyle name="_방동_추곡_율동자연공원내 화장실 보수 및 도색공사_내역서-최종0223_진해자은수량산출서(단지내)_기초산출표-56-128-최종_설계서-1_00-설계서,원가계산,내역서" xfId="732" xr:uid="{00000000-0005-0000-0000-0000DB020000}"/>
    <cellStyle name="_방동_추곡_율동자연공원내 화장실 보수 및 도색공사_내역서-최종0223_진해자은수량산출서(단지내)_설계서-1" xfId="733" xr:uid="{00000000-0005-0000-0000-0000DC020000}"/>
    <cellStyle name="_방동_추곡_율동자연공원내 화장실 보수 및 도색공사_내역서-최종0223_진해자은수량산출서(단지내)_설계서-1_00-설계서,원가계산,내역서" xfId="734" xr:uid="{00000000-0005-0000-0000-0000DD020000}"/>
    <cellStyle name="_방동_추곡_율동자연공원내 화장실 보수 및 도색공사_내역서-최종0223_진해자은수량산출서(단지내)_취합" xfId="735" xr:uid="{00000000-0005-0000-0000-0000DE020000}"/>
    <cellStyle name="_방동_추곡_율동자연공원내 화장실 보수 및 도색공사_내역서-최종0223_진해자은수량산출서(단지내)_취합_00-설계서,원가계산,내역서" xfId="736" xr:uid="{00000000-0005-0000-0000-0000DF020000}"/>
    <cellStyle name="_방동_추곡_율동자연공원내 화장실 보수 및 도색공사_내역서-최종0223_진해자은수량산출서(단지내)_취합_설계서-1" xfId="737" xr:uid="{00000000-0005-0000-0000-0000E0020000}"/>
    <cellStyle name="_방동_추곡_율동자연공원내 화장실 보수 및 도색공사_내역서-최종0223_진해자은수량산출서(단지내)_취합_설계서-1_00-설계서,원가계산,내역서" xfId="738" xr:uid="{00000000-0005-0000-0000-0000E1020000}"/>
    <cellStyle name="_방동_추곡_율동자연공원내 화장실 보수 및 도색공사_설계서-1" xfId="739" xr:uid="{00000000-0005-0000-0000-0000E2020000}"/>
    <cellStyle name="_방동_추곡_율동자연공원내 화장실 보수 및 도색공사_설계서-1_00-설계서,원가계산,내역서" xfId="740" xr:uid="{00000000-0005-0000-0000-0000E3020000}"/>
    <cellStyle name="_방동_추곡_율동자연공원내 화장실 보수 및 도색공사_진해자은수량산출서(단지내)" xfId="741" xr:uid="{00000000-0005-0000-0000-0000E4020000}"/>
    <cellStyle name="_방동_추곡_율동자연공원내 화장실 보수 및 도색공사_진해자은수량산출서(단지내)_00-설계서,원가계산,내역서" xfId="742" xr:uid="{00000000-0005-0000-0000-0000E5020000}"/>
    <cellStyle name="_방동_추곡_율동자연공원내 화장실 보수 및 도색공사_진해자은수량산출서(단지내)_기초산출표-56-128-최종" xfId="743" xr:uid="{00000000-0005-0000-0000-0000E6020000}"/>
    <cellStyle name="_방동_추곡_율동자연공원내 화장실 보수 및 도색공사_진해자은수량산출서(단지내)_기초산출표-56-128-최종_00-설계서,원가계산,내역서" xfId="744" xr:uid="{00000000-0005-0000-0000-0000E7020000}"/>
    <cellStyle name="_방동_추곡_율동자연공원내 화장실 보수 및 도색공사_진해자은수량산출서(단지내)_기초산출표-56-128-최종_설계서-1" xfId="745" xr:uid="{00000000-0005-0000-0000-0000E8020000}"/>
    <cellStyle name="_방동_추곡_율동자연공원내 화장실 보수 및 도색공사_진해자은수량산출서(단지내)_기초산출표-56-128-최종_설계서-1_00-설계서,원가계산,내역서" xfId="746" xr:uid="{00000000-0005-0000-0000-0000E9020000}"/>
    <cellStyle name="_방동_추곡_율동자연공원내 화장실 보수 및 도색공사_진해자은수량산출서(단지내)_설계서-1" xfId="747" xr:uid="{00000000-0005-0000-0000-0000EA020000}"/>
    <cellStyle name="_방동_추곡_율동자연공원내 화장실 보수 및 도색공사_진해자은수량산출서(단지내)_설계서-1_00-설계서,원가계산,내역서" xfId="748" xr:uid="{00000000-0005-0000-0000-0000EB020000}"/>
    <cellStyle name="_방동_추곡_율동자연공원내 화장실 보수 및 도색공사_진해자은수량산출서(단지내)_취합" xfId="749" xr:uid="{00000000-0005-0000-0000-0000EC020000}"/>
    <cellStyle name="_방동_추곡_율동자연공원내 화장실 보수 및 도색공사_진해자은수량산출서(단지내)_취합_00-설계서,원가계산,내역서" xfId="750" xr:uid="{00000000-0005-0000-0000-0000ED020000}"/>
    <cellStyle name="_방동_추곡_율동자연공원내 화장실 보수 및 도색공사_진해자은수량산출서(단지내)_취합_설계서-1" xfId="751" xr:uid="{00000000-0005-0000-0000-0000EE020000}"/>
    <cellStyle name="_방동_추곡_율동자연공원내 화장실 보수 및 도색공사_진해자은수량산출서(단지내)_취합_설계서-1_00-설계서,원가계산,내역서" xfId="752" xr:uid="{00000000-0005-0000-0000-0000EF020000}"/>
    <cellStyle name="_방동_추곡_율동자연공원내 휴게편의점 도색작업-할증-천정면적추가" xfId="753" xr:uid="{00000000-0005-0000-0000-0000F0020000}"/>
    <cellStyle name="_방동_추곡_율동자연공원내 휴게편의점 도색작업-할증-천정면적추가_00-설계서,원가계산,내역서" xfId="754" xr:uid="{00000000-0005-0000-0000-0000F1020000}"/>
    <cellStyle name="_방동_추곡_율동자연공원내 휴게편의점 도색작업-할증-천정면적추가_내역서-최종0223" xfId="755" xr:uid="{00000000-0005-0000-0000-0000F2020000}"/>
    <cellStyle name="_방동_추곡_율동자연공원내 휴게편의점 도색작업-할증-천정면적추가_내역서-최종0223_00-설계서,원가계산,내역서" xfId="756" xr:uid="{00000000-0005-0000-0000-0000F3020000}"/>
    <cellStyle name="_방동_추곡_율동자연공원내 휴게편의점 도색작업-할증-천정면적추가_내역서-최종0223_설계서-1" xfId="757" xr:uid="{00000000-0005-0000-0000-0000F4020000}"/>
    <cellStyle name="_방동_추곡_율동자연공원내 휴게편의점 도색작업-할증-천정면적추가_내역서-최종0223_설계서-1_00-설계서,원가계산,내역서" xfId="758" xr:uid="{00000000-0005-0000-0000-0000F5020000}"/>
    <cellStyle name="_방동_추곡_율동자연공원내 휴게편의점 도색작업-할증-천정면적추가_내역서-최종0223_진해자은수량산출서(단지내)" xfId="759" xr:uid="{00000000-0005-0000-0000-0000F6020000}"/>
    <cellStyle name="_방동_추곡_율동자연공원내 휴게편의점 도색작업-할증-천정면적추가_내역서-최종0223_진해자은수량산출서(단지내)_00-설계서,원가계산,내역서" xfId="760" xr:uid="{00000000-0005-0000-0000-0000F7020000}"/>
    <cellStyle name="_방동_추곡_율동자연공원내 휴게편의점 도색작업-할증-천정면적추가_내역서-최종0223_진해자은수량산출서(단지내)_기초산출표-56-128-최종" xfId="761" xr:uid="{00000000-0005-0000-0000-0000F8020000}"/>
    <cellStyle name="_방동_추곡_율동자연공원내 휴게편의점 도색작업-할증-천정면적추가_내역서-최종0223_진해자은수량산출서(단지내)_기초산출표-56-128-최종_00-설계서,원가계산,내역서" xfId="762" xr:uid="{00000000-0005-0000-0000-0000F9020000}"/>
    <cellStyle name="_방동_추곡_율동자연공원내 휴게편의점 도색작업-할증-천정면적추가_내역서-최종0223_진해자은수량산출서(단지내)_기초산출표-56-128-최종_설계서-1" xfId="763" xr:uid="{00000000-0005-0000-0000-0000FA020000}"/>
    <cellStyle name="_방동_추곡_율동자연공원내 휴게편의점 도색작업-할증-천정면적추가_내역서-최종0223_진해자은수량산출서(단지내)_기초산출표-56-128-최종_설계서-1_00-설계서,원가계산,내역서" xfId="764" xr:uid="{00000000-0005-0000-0000-0000FB020000}"/>
    <cellStyle name="_방동_추곡_율동자연공원내 휴게편의점 도색작업-할증-천정면적추가_내역서-최종0223_진해자은수량산출서(단지내)_설계서-1" xfId="765" xr:uid="{00000000-0005-0000-0000-0000FC020000}"/>
    <cellStyle name="_방동_추곡_율동자연공원내 휴게편의점 도색작업-할증-천정면적추가_내역서-최종0223_진해자은수량산출서(단지내)_설계서-1_00-설계서,원가계산,내역서" xfId="766" xr:uid="{00000000-0005-0000-0000-0000FD020000}"/>
    <cellStyle name="_방동_추곡_율동자연공원내 휴게편의점 도색작업-할증-천정면적추가_내역서-최종0223_진해자은수량산출서(단지내)_취합" xfId="767" xr:uid="{00000000-0005-0000-0000-0000FE020000}"/>
    <cellStyle name="_방동_추곡_율동자연공원내 휴게편의점 도색작업-할증-천정면적추가_내역서-최종0223_진해자은수량산출서(단지내)_취합_00-설계서,원가계산,내역서" xfId="768" xr:uid="{00000000-0005-0000-0000-0000FF020000}"/>
    <cellStyle name="_방동_추곡_율동자연공원내 휴게편의점 도색작업-할증-천정면적추가_내역서-최종0223_진해자은수량산출서(단지내)_취합_설계서-1" xfId="769" xr:uid="{00000000-0005-0000-0000-000000030000}"/>
    <cellStyle name="_방동_추곡_율동자연공원내 휴게편의점 도색작업-할증-천정면적추가_내역서-최종0223_진해자은수량산출서(단지내)_취합_설계서-1_00-설계서,원가계산,내역서" xfId="770" xr:uid="{00000000-0005-0000-0000-000001030000}"/>
    <cellStyle name="_방동_추곡_율동자연공원내 휴게편의점 도색작업-할증-천정면적추가_설계서-1" xfId="771" xr:uid="{00000000-0005-0000-0000-000002030000}"/>
    <cellStyle name="_방동_추곡_율동자연공원내 휴게편의점 도색작업-할증-천정면적추가_설계서-1_00-설계서,원가계산,내역서" xfId="772" xr:uid="{00000000-0005-0000-0000-000003030000}"/>
    <cellStyle name="_방동_추곡_율동자연공원내 휴게편의점 도색작업-할증-천정면적추가_진해자은수량산출서(단지내)" xfId="773" xr:uid="{00000000-0005-0000-0000-000004030000}"/>
    <cellStyle name="_방동_추곡_율동자연공원내 휴게편의점 도색작업-할증-천정면적추가_진해자은수량산출서(단지내)_00-설계서,원가계산,내역서" xfId="774" xr:uid="{00000000-0005-0000-0000-000005030000}"/>
    <cellStyle name="_방동_추곡_율동자연공원내 휴게편의점 도색작업-할증-천정면적추가_진해자은수량산출서(단지내)_기초산출표-56-128-최종" xfId="775" xr:uid="{00000000-0005-0000-0000-000006030000}"/>
    <cellStyle name="_방동_추곡_율동자연공원내 휴게편의점 도색작업-할증-천정면적추가_진해자은수량산출서(단지내)_기초산출표-56-128-최종_00-설계서,원가계산,내역서" xfId="776" xr:uid="{00000000-0005-0000-0000-000007030000}"/>
    <cellStyle name="_방동_추곡_율동자연공원내 휴게편의점 도색작업-할증-천정면적추가_진해자은수량산출서(단지내)_기초산출표-56-128-최종_설계서-1" xfId="777" xr:uid="{00000000-0005-0000-0000-000008030000}"/>
    <cellStyle name="_방동_추곡_율동자연공원내 휴게편의점 도색작업-할증-천정면적추가_진해자은수량산출서(단지내)_기초산출표-56-128-최종_설계서-1_00-설계서,원가계산,내역서" xfId="778" xr:uid="{00000000-0005-0000-0000-000009030000}"/>
    <cellStyle name="_방동_추곡_율동자연공원내 휴게편의점 도색작업-할증-천정면적추가_진해자은수량산출서(단지내)_설계서-1" xfId="779" xr:uid="{00000000-0005-0000-0000-00000A030000}"/>
    <cellStyle name="_방동_추곡_율동자연공원내 휴게편의점 도색작업-할증-천정면적추가_진해자은수량산출서(단지내)_설계서-1_00-설계서,원가계산,내역서" xfId="780" xr:uid="{00000000-0005-0000-0000-00000B030000}"/>
    <cellStyle name="_방동_추곡_율동자연공원내 휴게편의점 도색작업-할증-천정면적추가_진해자은수량산출서(단지내)_취합" xfId="781" xr:uid="{00000000-0005-0000-0000-00000C030000}"/>
    <cellStyle name="_방동_추곡_율동자연공원내 휴게편의점 도색작업-할증-천정면적추가_진해자은수량산출서(단지내)_취합_00-설계서,원가계산,내역서" xfId="782" xr:uid="{00000000-0005-0000-0000-00000D030000}"/>
    <cellStyle name="_방동_추곡_율동자연공원내 휴게편의점 도색작업-할증-천정면적추가_진해자은수량산출서(단지내)_취합_설계서-1" xfId="783" xr:uid="{00000000-0005-0000-0000-00000E030000}"/>
    <cellStyle name="_방동_추곡_율동자연공원내 휴게편의점 도색작업-할증-천정면적추가_진해자은수량산출서(단지내)_취합_설계서-1_00-설계서,원가계산,내역서" xfId="784" xr:uid="{00000000-0005-0000-0000-00000F030000}"/>
    <cellStyle name="_방동_추곡_이문동구간중랑천변녹화사업(수량산출서, 071127)-최종" xfId="785" xr:uid="{00000000-0005-0000-0000-000010030000}"/>
    <cellStyle name="_방동_추곡_이문동구간중랑천변녹화사업(수량산출서, 071127)-최종_00-설계서,원가계산,내역서" xfId="786" xr:uid="{00000000-0005-0000-0000-000011030000}"/>
    <cellStyle name="_방동_추곡_진해자은수량산출서(단지내)" xfId="787" xr:uid="{00000000-0005-0000-0000-000012030000}"/>
    <cellStyle name="_방동_추곡_진해자은수량산출서(단지내)_00-설계서,원가계산,내역서" xfId="788" xr:uid="{00000000-0005-0000-0000-000013030000}"/>
    <cellStyle name="_방동_추곡_진해자은수량산출서(단지내)_기초산출표-56-128-최종" xfId="789" xr:uid="{00000000-0005-0000-0000-000014030000}"/>
    <cellStyle name="_방동_추곡_진해자은수량산출서(단지내)_기초산출표-56-128-최종_00-설계서,원가계산,내역서" xfId="790" xr:uid="{00000000-0005-0000-0000-000015030000}"/>
    <cellStyle name="_방동_추곡_진해자은수량산출서(단지내)_기초산출표-56-128-최종_설계서-1" xfId="791" xr:uid="{00000000-0005-0000-0000-000016030000}"/>
    <cellStyle name="_방동_추곡_진해자은수량산출서(단지내)_기초산출표-56-128-최종_설계서-1_00-설계서,원가계산,내역서" xfId="792" xr:uid="{00000000-0005-0000-0000-000017030000}"/>
    <cellStyle name="_방동_추곡_진해자은수량산출서(단지내)_설계서-1" xfId="793" xr:uid="{00000000-0005-0000-0000-000018030000}"/>
    <cellStyle name="_방동_추곡_진해자은수량산출서(단지내)_설계서-1_00-설계서,원가계산,내역서" xfId="794" xr:uid="{00000000-0005-0000-0000-000019030000}"/>
    <cellStyle name="_방동_추곡_진해자은수량산출서(단지내)_취합" xfId="795" xr:uid="{00000000-0005-0000-0000-00001A030000}"/>
    <cellStyle name="_방동_추곡_진해자은수량산출서(단지내)_취합_00-설계서,원가계산,내역서" xfId="796" xr:uid="{00000000-0005-0000-0000-00001B030000}"/>
    <cellStyle name="_방동_추곡_진해자은수량산출서(단지내)_취합_설계서-1" xfId="797" xr:uid="{00000000-0005-0000-0000-00001C030000}"/>
    <cellStyle name="_방동_추곡_진해자은수량산출서(단지내)_취합_설계서-1_00-설계서,원가계산,내역서" xfId="798" xr:uid="{00000000-0005-0000-0000-00001D030000}"/>
    <cellStyle name="_방동_추곡_포장" xfId="799" xr:uid="{00000000-0005-0000-0000-00001E030000}"/>
    <cellStyle name="_방동_추곡_포장_00-설계서,원가계산,내역서" xfId="800" xr:uid="{00000000-0005-0000-0000-00001F030000}"/>
    <cellStyle name="_방동_추곡_포장_라멘교 토공" xfId="801" xr:uid="{00000000-0005-0000-0000-000020030000}"/>
    <cellStyle name="_방동_추곡_포장_라멘교 토공_00-설계서,원가계산,내역서" xfId="802" xr:uid="{00000000-0005-0000-0000-000021030000}"/>
    <cellStyle name="_방동_포장" xfId="803" xr:uid="{00000000-0005-0000-0000-000022030000}"/>
    <cellStyle name="_방동_포장_00-설계서,원가계산,내역서" xfId="804" xr:uid="{00000000-0005-0000-0000-000023030000}"/>
    <cellStyle name="_방동_포장_라멘교 토공" xfId="805" xr:uid="{00000000-0005-0000-0000-000024030000}"/>
    <cellStyle name="_방동_포장_라멘교 토공_00-설계서,원가계산,내역서" xfId="806" xr:uid="{00000000-0005-0000-0000-000025030000}"/>
    <cellStyle name="_백운초통신내역(최종)" xfId="807" xr:uid="{00000000-0005-0000-0000-000026030000}"/>
    <cellStyle name="_부대토목 예정공사비(2007.09.28)" xfId="808" xr:uid="{00000000-0005-0000-0000-000027030000}"/>
    <cellStyle name="_부평점정산내역" xfId="809" xr:uid="{00000000-0005-0000-0000-000028030000}"/>
    <cellStyle name="_분전반~1" xfId="810" xr:uid="{00000000-0005-0000-0000-000029030000}"/>
    <cellStyle name="_서천공주(견적서)" xfId="811" xr:uid="{00000000-0005-0000-0000-00002A030000}"/>
    <cellStyle name="_서천공주(견적서)_2004견적내역서리스트" xfId="812" xr:uid="{00000000-0005-0000-0000-00002B030000}"/>
    <cellStyle name="_석은희지압보도" xfId="813" xr:uid="{00000000-0005-0000-0000-00002C030000}"/>
    <cellStyle name="_석은희지압보도_00-설계서,원가계산,내역서" xfId="814" xr:uid="{00000000-0005-0000-0000-00002D030000}"/>
    <cellStyle name="_석은희지압보도_내역서-최종0223" xfId="815" xr:uid="{00000000-0005-0000-0000-00002E030000}"/>
    <cellStyle name="_석은희지압보도_내역서-최종0223_00-설계서,원가계산,내역서" xfId="816" xr:uid="{00000000-0005-0000-0000-00002F030000}"/>
    <cellStyle name="_석은희지압보도_내역서-최종0223_설계서-1" xfId="817" xr:uid="{00000000-0005-0000-0000-000030030000}"/>
    <cellStyle name="_석은희지압보도_내역서-최종0223_설계서-1_00-설계서,원가계산,내역서" xfId="818" xr:uid="{00000000-0005-0000-0000-000031030000}"/>
    <cellStyle name="_석은희지압보도_내역서-최종0223_진해자은수량산출서(단지내)" xfId="819" xr:uid="{00000000-0005-0000-0000-000032030000}"/>
    <cellStyle name="_석은희지압보도_내역서-최종0223_진해자은수량산출서(단지내)_00-설계서,원가계산,내역서" xfId="820" xr:uid="{00000000-0005-0000-0000-000033030000}"/>
    <cellStyle name="_석은희지압보도_내역서-최종0223_진해자은수량산출서(단지내)_기초산출표-56-128-최종" xfId="821" xr:uid="{00000000-0005-0000-0000-000034030000}"/>
    <cellStyle name="_석은희지압보도_내역서-최종0223_진해자은수량산출서(단지내)_기초산출표-56-128-최종_00-설계서,원가계산,내역서" xfId="822" xr:uid="{00000000-0005-0000-0000-000035030000}"/>
    <cellStyle name="_석은희지압보도_내역서-최종0223_진해자은수량산출서(단지내)_기초산출표-56-128-최종_설계서-1" xfId="823" xr:uid="{00000000-0005-0000-0000-000036030000}"/>
    <cellStyle name="_석은희지압보도_내역서-최종0223_진해자은수량산출서(단지내)_기초산출표-56-128-최종_설계서-1_00-설계서,원가계산,내역서" xfId="824" xr:uid="{00000000-0005-0000-0000-000037030000}"/>
    <cellStyle name="_석은희지압보도_내역서-최종0223_진해자은수량산출서(단지내)_설계서-1" xfId="825" xr:uid="{00000000-0005-0000-0000-000038030000}"/>
    <cellStyle name="_석은희지압보도_내역서-최종0223_진해자은수량산출서(단지내)_설계서-1_00-설계서,원가계산,내역서" xfId="826" xr:uid="{00000000-0005-0000-0000-000039030000}"/>
    <cellStyle name="_석은희지압보도_내역서-최종0223_진해자은수량산출서(단지내)_취합" xfId="827" xr:uid="{00000000-0005-0000-0000-00003A030000}"/>
    <cellStyle name="_석은희지압보도_내역서-최종0223_진해자은수량산출서(단지내)_취합_00-설계서,원가계산,내역서" xfId="828" xr:uid="{00000000-0005-0000-0000-00003B030000}"/>
    <cellStyle name="_석은희지압보도_내역서-최종0223_진해자은수량산출서(단지내)_취합_설계서-1" xfId="829" xr:uid="{00000000-0005-0000-0000-00003C030000}"/>
    <cellStyle name="_석은희지압보도_내역서-최종0223_진해자은수량산출서(단지내)_취합_설계서-1_00-설계서,원가계산,내역서" xfId="830" xr:uid="{00000000-0005-0000-0000-00003D030000}"/>
    <cellStyle name="_석은희지압보도_설계서-1" xfId="831" xr:uid="{00000000-0005-0000-0000-00003E030000}"/>
    <cellStyle name="_석은희지압보도_설계서-1_00-설계서,원가계산,내역서" xfId="832" xr:uid="{00000000-0005-0000-0000-00003F030000}"/>
    <cellStyle name="_석은희지압보도_진해자은수량산출서(단지내)" xfId="833" xr:uid="{00000000-0005-0000-0000-000040030000}"/>
    <cellStyle name="_석은희지압보도_진해자은수량산출서(단지내)_00-설계서,원가계산,내역서" xfId="834" xr:uid="{00000000-0005-0000-0000-000041030000}"/>
    <cellStyle name="_석은희지압보도_진해자은수량산출서(단지내)_기초산출표-56-128-최종" xfId="835" xr:uid="{00000000-0005-0000-0000-000042030000}"/>
    <cellStyle name="_석은희지압보도_진해자은수량산출서(단지내)_기초산출표-56-128-최종_00-설계서,원가계산,내역서" xfId="836" xr:uid="{00000000-0005-0000-0000-000043030000}"/>
    <cellStyle name="_석은희지압보도_진해자은수량산출서(단지내)_기초산출표-56-128-최종_설계서-1" xfId="837" xr:uid="{00000000-0005-0000-0000-000044030000}"/>
    <cellStyle name="_석은희지압보도_진해자은수량산출서(단지내)_기초산출표-56-128-최종_설계서-1_00-설계서,원가계산,내역서" xfId="838" xr:uid="{00000000-0005-0000-0000-000045030000}"/>
    <cellStyle name="_석은희지압보도_진해자은수량산출서(단지내)_설계서-1" xfId="839" xr:uid="{00000000-0005-0000-0000-000046030000}"/>
    <cellStyle name="_석은희지압보도_진해자은수량산출서(단지내)_설계서-1_00-설계서,원가계산,내역서" xfId="840" xr:uid="{00000000-0005-0000-0000-000047030000}"/>
    <cellStyle name="_석은희지압보도_진해자은수량산출서(단지내)_취합" xfId="841" xr:uid="{00000000-0005-0000-0000-000048030000}"/>
    <cellStyle name="_석은희지압보도_진해자은수량산출서(단지내)_취합_00-설계서,원가계산,내역서" xfId="842" xr:uid="{00000000-0005-0000-0000-000049030000}"/>
    <cellStyle name="_석은희지압보도_진해자은수량산출서(단지내)_취합_설계서-1" xfId="843" xr:uid="{00000000-0005-0000-0000-00004A030000}"/>
    <cellStyle name="_석은희지압보도_진해자은수량산출서(단지내)_취합_설계서-1_00-설계서,원가계산,내역서" xfId="844" xr:uid="{00000000-0005-0000-0000-00004B030000}"/>
    <cellStyle name="_설계변경" xfId="845" xr:uid="{00000000-0005-0000-0000-00004C030000}"/>
    <cellStyle name="_실시계획인가 예정용역비" xfId="846" xr:uid="{00000000-0005-0000-0000-00004D030000}"/>
    <cellStyle name="_실시설계 공내역서" xfId="847" xr:uid="{00000000-0005-0000-0000-00004E030000}"/>
    <cellStyle name="_연안권내역서(토목부문내역서)" xfId="848" xr:uid="{00000000-0005-0000-0000-00004F030000}"/>
    <cellStyle name="_연안권역특화거리조성을위한음악분수대설치" xfId="849" xr:uid="{00000000-0005-0000-0000-000050030000}"/>
    <cellStyle name="_연안권역특화거리조성을위한음악분수대설치_00-설계서,원가계산,내역서" xfId="850" xr:uid="{00000000-0005-0000-0000-000051030000}"/>
    <cellStyle name="_연안권역특화거리조성을위한음악분수대설치R6(제출EBS)-설비,전기,관리실" xfId="851" xr:uid="{00000000-0005-0000-0000-000052030000}"/>
    <cellStyle name="_연안권역특화거리조성을위한음악분수대설치R6(제출EBS)-설비,전기,관리실_00-설계서,원가계산,내역서" xfId="852" xr:uid="{00000000-0005-0000-0000-000053030000}"/>
    <cellStyle name="_영화관약전설비(수정)" xfId="853" xr:uid="{00000000-0005-0000-0000-000054030000}"/>
    <cellStyle name="_울산롯데호텔소방전기견적서" xfId="854" xr:uid="{00000000-0005-0000-0000-000055030000}"/>
    <cellStyle name="_울산백화점 발의내역(계약단가적용)" xfId="855" xr:uid="{00000000-0005-0000-0000-000056030000}"/>
    <cellStyle name="_울산점소방전기공사(발주)" xfId="856" xr:uid="{00000000-0005-0000-0000-000057030000}"/>
    <cellStyle name="_유성약전발의내역1" xfId="857" xr:uid="{00000000-0005-0000-0000-000058030000}"/>
    <cellStyle name="_응급ES" xfId="858" xr:uid="{00000000-0005-0000-0000-000059030000}"/>
    <cellStyle name="_응급RE" xfId="859" xr:uid="{00000000-0005-0000-0000-00005A030000}"/>
    <cellStyle name="_일반전기1공구" xfId="860" xr:uid="{00000000-0005-0000-0000-00005B030000}"/>
    <cellStyle name="_일반전기2공구" xfId="861" xr:uid="{00000000-0005-0000-0000-00005C030000}"/>
    <cellStyle name="_일반전기정산" xfId="862" xr:uid="{00000000-0005-0000-0000-00005D030000}"/>
    <cellStyle name="_전기" xfId="863" xr:uid="{00000000-0005-0000-0000-00005E030000}"/>
    <cellStyle name="_전력간선" xfId="864" xr:uid="{00000000-0005-0000-0000-00005F030000}"/>
    <cellStyle name="_정산세부내역(건설사정)" xfId="865" xr:uid="{00000000-0005-0000-0000-000060030000}"/>
    <cellStyle name="_준공-약전설비공사" xfId="866" xr:uid="{00000000-0005-0000-0000-000061030000}"/>
    <cellStyle name="_추곡" xfId="867" xr:uid="{00000000-0005-0000-0000-000062030000}"/>
    <cellStyle name="_추곡_00-설계서,원가계산,내역서" xfId="868" xr:uid="{00000000-0005-0000-0000-000063030000}"/>
    <cellStyle name="_추곡_내역서-최종0223" xfId="869" xr:uid="{00000000-0005-0000-0000-000064030000}"/>
    <cellStyle name="_추곡_내역서-최종0223_00-설계서,원가계산,내역서" xfId="870" xr:uid="{00000000-0005-0000-0000-000065030000}"/>
    <cellStyle name="_추곡_내역서-최종0223_설계서-1" xfId="871" xr:uid="{00000000-0005-0000-0000-000066030000}"/>
    <cellStyle name="_추곡_내역서-최종0223_설계서-1_00-설계서,원가계산,내역서" xfId="872" xr:uid="{00000000-0005-0000-0000-000067030000}"/>
    <cellStyle name="_추곡_내역서-최종0223_진해자은수량산출서(단지내)" xfId="873" xr:uid="{00000000-0005-0000-0000-000068030000}"/>
    <cellStyle name="_추곡_내역서-최종0223_진해자은수량산출서(단지내)_00-설계서,원가계산,내역서" xfId="874" xr:uid="{00000000-0005-0000-0000-000069030000}"/>
    <cellStyle name="_추곡_내역서-최종0223_진해자은수량산출서(단지내)_기초산출표-56-128-최종" xfId="875" xr:uid="{00000000-0005-0000-0000-00006A030000}"/>
    <cellStyle name="_추곡_내역서-최종0223_진해자은수량산출서(단지내)_기초산출표-56-128-최종_00-설계서,원가계산,내역서" xfId="876" xr:uid="{00000000-0005-0000-0000-00006B030000}"/>
    <cellStyle name="_추곡_내역서-최종0223_진해자은수량산출서(단지내)_기초산출표-56-128-최종_설계서-1" xfId="877" xr:uid="{00000000-0005-0000-0000-00006C030000}"/>
    <cellStyle name="_추곡_내역서-최종0223_진해자은수량산출서(단지내)_기초산출표-56-128-최종_설계서-1_00-설계서,원가계산,내역서" xfId="878" xr:uid="{00000000-0005-0000-0000-00006D030000}"/>
    <cellStyle name="_추곡_내역서-최종0223_진해자은수량산출서(단지내)_설계서-1" xfId="879" xr:uid="{00000000-0005-0000-0000-00006E030000}"/>
    <cellStyle name="_추곡_내역서-최종0223_진해자은수량산출서(단지내)_설계서-1_00-설계서,원가계산,내역서" xfId="880" xr:uid="{00000000-0005-0000-0000-00006F030000}"/>
    <cellStyle name="_추곡_내역서-최종0223_진해자은수량산출서(단지내)_취합" xfId="881" xr:uid="{00000000-0005-0000-0000-000070030000}"/>
    <cellStyle name="_추곡_내역서-최종0223_진해자은수량산출서(단지내)_취합_00-설계서,원가계산,내역서" xfId="882" xr:uid="{00000000-0005-0000-0000-000071030000}"/>
    <cellStyle name="_추곡_내역서-최종0223_진해자은수량산출서(단지내)_취합_설계서-1" xfId="883" xr:uid="{00000000-0005-0000-0000-000072030000}"/>
    <cellStyle name="_추곡_내역서-최종0223_진해자은수량산출서(단지내)_취합_설계서-1_00-설계서,원가계산,내역서" xfId="884" xr:uid="{00000000-0005-0000-0000-000073030000}"/>
    <cellStyle name="_추곡_라멘교 토공" xfId="885" xr:uid="{00000000-0005-0000-0000-000074030000}"/>
    <cellStyle name="_추곡_라멘교 토공_00-설계서,원가계산,내역서" xfId="886" xr:uid="{00000000-0005-0000-0000-000075030000}"/>
    <cellStyle name="_추곡_설계서-1" xfId="887" xr:uid="{00000000-0005-0000-0000-000076030000}"/>
    <cellStyle name="_추곡_설계서-1_00-설계서,원가계산,내역서" xfId="888" xr:uid="{00000000-0005-0000-0000-000077030000}"/>
    <cellStyle name="_추곡_율동자연공원내 화장실 보수 및 도색공사" xfId="889" xr:uid="{00000000-0005-0000-0000-000078030000}"/>
    <cellStyle name="_추곡_율동자연공원내 화장실 보수 및 도색공사_00-설계서,원가계산,내역서" xfId="890" xr:uid="{00000000-0005-0000-0000-000079030000}"/>
    <cellStyle name="_추곡_율동자연공원내 화장실 보수 및 도색공사_내역서-최종0223" xfId="891" xr:uid="{00000000-0005-0000-0000-00007A030000}"/>
    <cellStyle name="_추곡_율동자연공원내 화장실 보수 및 도색공사_내역서-최종0223_00-설계서,원가계산,내역서" xfId="892" xr:uid="{00000000-0005-0000-0000-00007B030000}"/>
    <cellStyle name="_추곡_율동자연공원내 화장실 보수 및 도색공사_내역서-최종0223_설계서-1" xfId="893" xr:uid="{00000000-0005-0000-0000-00007C030000}"/>
    <cellStyle name="_추곡_율동자연공원내 화장실 보수 및 도색공사_내역서-최종0223_설계서-1_00-설계서,원가계산,내역서" xfId="894" xr:uid="{00000000-0005-0000-0000-00007D030000}"/>
    <cellStyle name="_추곡_율동자연공원내 화장실 보수 및 도색공사_내역서-최종0223_진해자은수량산출서(단지내)" xfId="895" xr:uid="{00000000-0005-0000-0000-00007E030000}"/>
    <cellStyle name="_추곡_율동자연공원내 화장실 보수 및 도색공사_내역서-최종0223_진해자은수량산출서(단지내)_00-설계서,원가계산,내역서" xfId="896" xr:uid="{00000000-0005-0000-0000-00007F030000}"/>
    <cellStyle name="_추곡_율동자연공원내 화장실 보수 및 도색공사_내역서-최종0223_진해자은수량산출서(단지내)_기초산출표-56-128-최종" xfId="897" xr:uid="{00000000-0005-0000-0000-000080030000}"/>
    <cellStyle name="_추곡_율동자연공원내 화장실 보수 및 도색공사_내역서-최종0223_진해자은수량산출서(단지내)_기초산출표-56-128-최종_00-설계서,원가계산,내역서" xfId="898" xr:uid="{00000000-0005-0000-0000-000081030000}"/>
    <cellStyle name="_추곡_율동자연공원내 화장실 보수 및 도색공사_내역서-최종0223_진해자은수량산출서(단지내)_기초산출표-56-128-최종_설계서-1" xfId="899" xr:uid="{00000000-0005-0000-0000-000082030000}"/>
    <cellStyle name="_추곡_율동자연공원내 화장실 보수 및 도색공사_내역서-최종0223_진해자은수량산출서(단지내)_기초산출표-56-128-최종_설계서-1_00-설계서,원가계산,내역서" xfId="900" xr:uid="{00000000-0005-0000-0000-000083030000}"/>
    <cellStyle name="_추곡_율동자연공원내 화장실 보수 및 도색공사_내역서-최종0223_진해자은수량산출서(단지내)_설계서-1" xfId="901" xr:uid="{00000000-0005-0000-0000-000084030000}"/>
    <cellStyle name="_추곡_율동자연공원내 화장실 보수 및 도색공사_내역서-최종0223_진해자은수량산출서(단지내)_설계서-1_00-설계서,원가계산,내역서" xfId="902" xr:uid="{00000000-0005-0000-0000-000085030000}"/>
    <cellStyle name="_추곡_율동자연공원내 화장실 보수 및 도색공사_내역서-최종0223_진해자은수량산출서(단지내)_취합" xfId="903" xr:uid="{00000000-0005-0000-0000-000086030000}"/>
    <cellStyle name="_추곡_율동자연공원내 화장실 보수 및 도색공사_내역서-최종0223_진해자은수량산출서(단지내)_취합_00-설계서,원가계산,내역서" xfId="904" xr:uid="{00000000-0005-0000-0000-000087030000}"/>
    <cellStyle name="_추곡_율동자연공원내 화장실 보수 및 도색공사_내역서-최종0223_진해자은수량산출서(단지내)_취합_설계서-1" xfId="905" xr:uid="{00000000-0005-0000-0000-000088030000}"/>
    <cellStyle name="_추곡_율동자연공원내 화장실 보수 및 도색공사_내역서-최종0223_진해자은수량산출서(단지내)_취합_설계서-1_00-설계서,원가계산,내역서" xfId="906" xr:uid="{00000000-0005-0000-0000-000089030000}"/>
    <cellStyle name="_추곡_율동자연공원내 화장실 보수 및 도색공사_설계서-1" xfId="907" xr:uid="{00000000-0005-0000-0000-00008A030000}"/>
    <cellStyle name="_추곡_율동자연공원내 화장실 보수 및 도색공사_설계서-1_00-설계서,원가계산,내역서" xfId="908" xr:uid="{00000000-0005-0000-0000-00008B030000}"/>
    <cellStyle name="_추곡_율동자연공원내 화장실 보수 및 도색공사_진해자은수량산출서(단지내)" xfId="909" xr:uid="{00000000-0005-0000-0000-00008C030000}"/>
    <cellStyle name="_추곡_율동자연공원내 화장실 보수 및 도색공사_진해자은수량산출서(단지내)_00-설계서,원가계산,내역서" xfId="910" xr:uid="{00000000-0005-0000-0000-00008D030000}"/>
    <cellStyle name="_추곡_율동자연공원내 화장실 보수 및 도색공사_진해자은수량산출서(단지내)_기초산출표-56-128-최종" xfId="911" xr:uid="{00000000-0005-0000-0000-00008E030000}"/>
    <cellStyle name="_추곡_율동자연공원내 화장실 보수 및 도색공사_진해자은수량산출서(단지내)_기초산출표-56-128-최종_00-설계서,원가계산,내역서" xfId="912" xr:uid="{00000000-0005-0000-0000-00008F030000}"/>
    <cellStyle name="_추곡_율동자연공원내 화장실 보수 및 도색공사_진해자은수량산출서(단지내)_기초산출표-56-128-최종_설계서-1" xfId="913" xr:uid="{00000000-0005-0000-0000-000090030000}"/>
    <cellStyle name="_추곡_율동자연공원내 화장실 보수 및 도색공사_진해자은수량산출서(단지내)_기초산출표-56-128-최종_설계서-1_00-설계서,원가계산,내역서" xfId="914" xr:uid="{00000000-0005-0000-0000-000091030000}"/>
    <cellStyle name="_추곡_율동자연공원내 화장실 보수 및 도색공사_진해자은수량산출서(단지내)_설계서-1" xfId="915" xr:uid="{00000000-0005-0000-0000-000092030000}"/>
    <cellStyle name="_추곡_율동자연공원내 화장실 보수 및 도색공사_진해자은수량산출서(단지내)_설계서-1_00-설계서,원가계산,내역서" xfId="916" xr:uid="{00000000-0005-0000-0000-000093030000}"/>
    <cellStyle name="_추곡_율동자연공원내 화장실 보수 및 도색공사_진해자은수량산출서(단지내)_취합" xfId="917" xr:uid="{00000000-0005-0000-0000-000094030000}"/>
    <cellStyle name="_추곡_율동자연공원내 화장실 보수 및 도색공사_진해자은수량산출서(단지내)_취합_00-설계서,원가계산,내역서" xfId="918" xr:uid="{00000000-0005-0000-0000-000095030000}"/>
    <cellStyle name="_추곡_율동자연공원내 화장실 보수 및 도색공사_진해자은수량산출서(단지내)_취합_설계서-1" xfId="919" xr:uid="{00000000-0005-0000-0000-000096030000}"/>
    <cellStyle name="_추곡_율동자연공원내 화장실 보수 및 도색공사_진해자은수량산출서(단지내)_취합_설계서-1_00-설계서,원가계산,내역서" xfId="920" xr:uid="{00000000-0005-0000-0000-000097030000}"/>
    <cellStyle name="_추곡_율동자연공원내 휴게편의점 도색작업-할증-천정면적추가" xfId="921" xr:uid="{00000000-0005-0000-0000-000098030000}"/>
    <cellStyle name="_추곡_율동자연공원내 휴게편의점 도색작업-할증-천정면적추가_00-설계서,원가계산,내역서" xfId="922" xr:uid="{00000000-0005-0000-0000-000099030000}"/>
    <cellStyle name="_추곡_율동자연공원내 휴게편의점 도색작업-할증-천정면적추가_내역서-최종0223" xfId="923" xr:uid="{00000000-0005-0000-0000-00009A030000}"/>
    <cellStyle name="_추곡_율동자연공원내 휴게편의점 도색작업-할증-천정면적추가_내역서-최종0223_00-설계서,원가계산,내역서" xfId="924" xr:uid="{00000000-0005-0000-0000-00009B030000}"/>
    <cellStyle name="_추곡_율동자연공원내 휴게편의점 도색작업-할증-천정면적추가_내역서-최종0223_설계서-1" xfId="925" xr:uid="{00000000-0005-0000-0000-00009C030000}"/>
    <cellStyle name="_추곡_율동자연공원내 휴게편의점 도색작업-할증-천정면적추가_내역서-최종0223_설계서-1_00-설계서,원가계산,내역서" xfId="926" xr:uid="{00000000-0005-0000-0000-00009D030000}"/>
    <cellStyle name="_추곡_율동자연공원내 휴게편의점 도색작업-할증-천정면적추가_내역서-최종0223_진해자은수량산출서(단지내)" xfId="927" xr:uid="{00000000-0005-0000-0000-00009E030000}"/>
    <cellStyle name="_추곡_율동자연공원내 휴게편의점 도색작업-할증-천정면적추가_내역서-최종0223_진해자은수량산출서(단지내)_00-설계서,원가계산,내역서" xfId="928" xr:uid="{00000000-0005-0000-0000-00009F030000}"/>
    <cellStyle name="_추곡_율동자연공원내 휴게편의점 도색작업-할증-천정면적추가_내역서-최종0223_진해자은수량산출서(단지내)_기초산출표-56-128-최종" xfId="929" xr:uid="{00000000-0005-0000-0000-0000A0030000}"/>
    <cellStyle name="_추곡_율동자연공원내 휴게편의점 도색작업-할증-천정면적추가_내역서-최종0223_진해자은수량산출서(단지내)_기초산출표-56-128-최종_00-설계서,원가계산,내역서" xfId="930" xr:uid="{00000000-0005-0000-0000-0000A1030000}"/>
    <cellStyle name="_추곡_율동자연공원내 휴게편의점 도색작업-할증-천정면적추가_내역서-최종0223_진해자은수량산출서(단지내)_기초산출표-56-128-최종_설계서-1" xfId="931" xr:uid="{00000000-0005-0000-0000-0000A2030000}"/>
    <cellStyle name="_추곡_율동자연공원내 휴게편의점 도색작업-할증-천정면적추가_내역서-최종0223_진해자은수량산출서(단지내)_기초산출표-56-128-최종_설계서-1_00-설계서,원가계산,내역서" xfId="932" xr:uid="{00000000-0005-0000-0000-0000A3030000}"/>
    <cellStyle name="_추곡_율동자연공원내 휴게편의점 도색작업-할증-천정면적추가_내역서-최종0223_진해자은수량산출서(단지내)_설계서-1" xfId="933" xr:uid="{00000000-0005-0000-0000-0000A4030000}"/>
    <cellStyle name="_추곡_율동자연공원내 휴게편의점 도색작업-할증-천정면적추가_내역서-최종0223_진해자은수량산출서(단지내)_설계서-1_00-설계서,원가계산,내역서" xfId="934" xr:uid="{00000000-0005-0000-0000-0000A5030000}"/>
    <cellStyle name="_추곡_율동자연공원내 휴게편의점 도색작업-할증-천정면적추가_내역서-최종0223_진해자은수량산출서(단지내)_취합" xfId="935" xr:uid="{00000000-0005-0000-0000-0000A6030000}"/>
    <cellStyle name="_추곡_율동자연공원내 휴게편의점 도색작업-할증-천정면적추가_내역서-최종0223_진해자은수량산출서(단지내)_취합_00-설계서,원가계산,내역서" xfId="936" xr:uid="{00000000-0005-0000-0000-0000A7030000}"/>
    <cellStyle name="_추곡_율동자연공원내 휴게편의점 도색작업-할증-천정면적추가_내역서-최종0223_진해자은수량산출서(단지내)_취합_설계서-1" xfId="937" xr:uid="{00000000-0005-0000-0000-0000A8030000}"/>
    <cellStyle name="_추곡_율동자연공원내 휴게편의점 도색작업-할증-천정면적추가_내역서-최종0223_진해자은수량산출서(단지내)_취합_설계서-1_00-설계서,원가계산,내역서" xfId="938" xr:uid="{00000000-0005-0000-0000-0000A9030000}"/>
    <cellStyle name="_추곡_율동자연공원내 휴게편의점 도색작업-할증-천정면적추가_설계서-1" xfId="939" xr:uid="{00000000-0005-0000-0000-0000AA030000}"/>
    <cellStyle name="_추곡_율동자연공원내 휴게편의점 도색작업-할증-천정면적추가_설계서-1_00-설계서,원가계산,내역서" xfId="940" xr:uid="{00000000-0005-0000-0000-0000AB030000}"/>
    <cellStyle name="_추곡_율동자연공원내 휴게편의점 도색작업-할증-천정면적추가_진해자은수량산출서(단지내)" xfId="941" xr:uid="{00000000-0005-0000-0000-0000AC030000}"/>
    <cellStyle name="_추곡_율동자연공원내 휴게편의점 도색작업-할증-천정면적추가_진해자은수량산출서(단지내)_00-설계서,원가계산,내역서" xfId="942" xr:uid="{00000000-0005-0000-0000-0000AD030000}"/>
    <cellStyle name="_추곡_율동자연공원내 휴게편의점 도색작업-할증-천정면적추가_진해자은수량산출서(단지내)_기초산출표-56-128-최종" xfId="943" xr:uid="{00000000-0005-0000-0000-0000AE030000}"/>
    <cellStyle name="_추곡_율동자연공원내 휴게편의점 도색작업-할증-천정면적추가_진해자은수량산출서(단지내)_기초산출표-56-128-최종_00-설계서,원가계산,내역서" xfId="944" xr:uid="{00000000-0005-0000-0000-0000AF030000}"/>
    <cellStyle name="_추곡_율동자연공원내 휴게편의점 도색작업-할증-천정면적추가_진해자은수량산출서(단지내)_기초산출표-56-128-최종_설계서-1" xfId="945" xr:uid="{00000000-0005-0000-0000-0000B0030000}"/>
    <cellStyle name="_추곡_율동자연공원내 휴게편의점 도색작업-할증-천정면적추가_진해자은수량산출서(단지내)_기초산출표-56-128-최종_설계서-1_00-설계서,원가계산,내역서" xfId="946" xr:uid="{00000000-0005-0000-0000-0000B1030000}"/>
    <cellStyle name="_추곡_율동자연공원내 휴게편의점 도색작업-할증-천정면적추가_진해자은수량산출서(단지내)_설계서-1" xfId="947" xr:uid="{00000000-0005-0000-0000-0000B2030000}"/>
    <cellStyle name="_추곡_율동자연공원내 휴게편의점 도색작업-할증-천정면적추가_진해자은수량산출서(단지내)_설계서-1_00-설계서,원가계산,내역서" xfId="948" xr:uid="{00000000-0005-0000-0000-0000B3030000}"/>
    <cellStyle name="_추곡_율동자연공원내 휴게편의점 도색작업-할증-천정면적추가_진해자은수량산출서(단지내)_취합" xfId="949" xr:uid="{00000000-0005-0000-0000-0000B4030000}"/>
    <cellStyle name="_추곡_율동자연공원내 휴게편의점 도색작업-할증-천정면적추가_진해자은수량산출서(단지내)_취합_00-설계서,원가계산,내역서" xfId="950" xr:uid="{00000000-0005-0000-0000-0000B5030000}"/>
    <cellStyle name="_추곡_율동자연공원내 휴게편의점 도색작업-할증-천정면적추가_진해자은수량산출서(단지내)_취합_설계서-1" xfId="951" xr:uid="{00000000-0005-0000-0000-0000B6030000}"/>
    <cellStyle name="_추곡_율동자연공원내 휴게편의점 도색작업-할증-천정면적추가_진해자은수량산출서(단지내)_취합_설계서-1_00-설계서,원가계산,내역서" xfId="952" xr:uid="{00000000-0005-0000-0000-0000B7030000}"/>
    <cellStyle name="_추곡_이문동구간중랑천변녹화사업(수량산출서, 071127)-최종" xfId="953" xr:uid="{00000000-0005-0000-0000-0000B8030000}"/>
    <cellStyle name="_추곡_이문동구간중랑천변녹화사업(수량산출서, 071127)-최종_00-설계서,원가계산,내역서" xfId="954" xr:uid="{00000000-0005-0000-0000-0000B9030000}"/>
    <cellStyle name="_추곡_진해자은수량산출서(단지내)" xfId="955" xr:uid="{00000000-0005-0000-0000-0000BA030000}"/>
    <cellStyle name="_추곡_진해자은수량산출서(단지내)_00-설계서,원가계산,내역서" xfId="956" xr:uid="{00000000-0005-0000-0000-0000BB030000}"/>
    <cellStyle name="_추곡_진해자은수량산출서(단지내)_기초산출표-56-128-최종" xfId="957" xr:uid="{00000000-0005-0000-0000-0000BC030000}"/>
    <cellStyle name="_추곡_진해자은수량산출서(단지내)_기초산출표-56-128-최종_00-설계서,원가계산,내역서" xfId="958" xr:uid="{00000000-0005-0000-0000-0000BD030000}"/>
    <cellStyle name="_추곡_진해자은수량산출서(단지내)_기초산출표-56-128-최종_설계서-1" xfId="959" xr:uid="{00000000-0005-0000-0000-0000BE030000}"/>
    <cellStyle name="_추곡_진해자은수량산출서(단지내)_기초산출표-56-128-최종_설계서-1_00-설계서,원가계산,내역서" xfId="960" xr:uid="{00000000-0005-0000-0000-0000BF030000}"/>
    <cellStyle name="_추곡_진해자은수량산출서(단지내)_설계서-1" xfId="961" xr:uid="{00000000-0005-0000-0000-0000C0030000}"/>
    <cellStyle name="_추곡_진해자은수량산출서(단지내)_설계서-1_00-설계서,원가계산,내역서" xfId="962" xr:uid="{00000000-0005-0000-0000-0000C1030000}"/>
    <cellStyle name="_추곡_진해자은수량산출서(단지내)_취합" xfId="963" xr:uid="{00000000-0005-0000-0000-0000C2030000}"/>
    <cellStyle name="_추곡_진해자은수량산출서(단지내)_취합_00-설계서,원가계산,내역서" xfId="964" xr:uid="{00000000-0005-0000-0000-0000C3030000}"/>
    <cellStyle name="_추곡_진해자은수량산출서(단지내)_취합_설계서-1" xfId="965" xr:uid="{00000000-0005-0000-0000-0000C4030000}"/>
    <cellStyle name="_추곡_진해자은수량산출서(단지내)_취합_설계서-1_00-설계서,원가계산,내역서" xfId="966" xr:uid="{00000000-0005-0000-0000-0000C5030000}"/>
    <cellStyle name="_추곡_추곡" xfId="967" xr:uid="{00000000-0005-0000-0000-0000C6030000}"/>
    <cellStyle name="_추곡_추곡_00-설계서,원가계산,내역서" xfId="968" xr:uid="{00000000-0005-0000-0000-0000C7030000}"/>
    <cellStyle name="_추곡_추곡_내역서-최종0223" xfId="969" xr:uid="{00000000-0005-0000-0000-0000C8030000}"/>
    <cellStyle name="_추곡_추곡_내역서-최종0223_00-설계서,원가계산,내역서" xfId="970" xr:uid="{00000000-0005-0000-0000-0000C9030000}"/>
    <cellStyle name="_추곡_추곡_내역서-최종0223_설계서-1" xfId="971" xr:uid="{00000000-0005-0000-0000-0000CA030000}"/>
    <cellStyle name="_추곡_추곡_내역서-최종0223_설계서-1_00-설계서,원가계산,내역서" xfId="972" xr:uid="{00000000-0005-0000-0000-0000CB030000}"/>
    <cellStyle name="_추곡_추곡_내역서-최종0223_진해자은수량산출서(단지내)" xfId="973" xr:uid="{00000000-0005-0000-0000-0000CC030000}"/>
    <cellStyle name="_추곡_추곡_내역서-최종0223_진해자은수량산출서(단지내)_00-설계서,원가계산,내역서" xfId="974" xr:uid="{00000000-0005-0000-0000-0000CD030000}"/>
    <cellStyle name="_추곡_추곡_내역서-최종0223_진해자은수량산출서(단지내)_기초산출표-56-128-최종" xfId="975" xr:uid="{00000000-0005-0000-0000-0000CE030000}"/>
    <cellStyle name="_추곡_추곡_내역서-최종0223_진해자은수량산출서(단지내)_기초산출표-56-128-최종_00-설계서,원가계산,내역서" xfId="976" xr:uid="{00000000-0005-0000-0000-0000CF030000}"/>
    <cellStyle name="_추곡_추곡_내역서-최종0223_진해자은수량산출서(단지내)_기초산출표-56-128-최종_설계서-1" xfId="977" xr:uid="{00000000-0005-0000-0000-0000D0030000}"/>
    <cellStyle name="_추곡_추곡_내역서-최종0223_진해자은수량산출서(단지내)_기초산출표-56-128-최종_설계서-1_00-설계서,원가계산,내역서" xfId="978" xr:uid="{00000000-0005-0000-0000-0000D1030000}"/>
    <cellStyle name="_추곡_추곡_내역서-최종0223_진해자은수량산출서(단지내)_설계서-1" xfId="979" xr:uid="{00000000-0005-0000-0000-0000D2030000}"/>
    <cellStyle name="_추곡_추곡_내역서-최종0223_진해자은수량산출서(단지내)_설계서-1_00-설계서,원가계산,내역서" xfId="980" xr:uid="{00000000-0005-0000-0000-0000D3030000}"/>
    <cellStyle name="_추곡_추곡_내역서-최종0223_진해자은수량산출서(단지내)_취합" xfId="981" xr:uid="{00000000-0005-0000-0000-0000D4030000}"/>
    <cellStyle name="_추곡_추곡_내역서-최종0223_진해자은수량산출서(단지내)_취합_00-설계서,원가계산,내역서" xfId="982" xr:uid="{00000000-0005-0000-0000-0000D5030000}"/>
    <cellStyle name="_추곡_추곡_내역서-최종0223_진해자은수량산출서(단지내)_취합_설계서-1" xfId="983" xr:uid="{00000000-0005-0000-0000-0000D6030000}"/>
    <cellStyle name="_추곡_추곡_내역서-최종0223_진해자은수량산출서(단지내)_취합_설계서-1_00-설계서,원가계산,내역서" xfId="984" xr:uid="{00000000-0005-0000-0000-0000D7030000}"/>
    <cellStyle name="_추곡_추곡_라멘교 토공" xfId="985" xr:uid="{00000000-0005-0000-0000-0000D8030000}"/>
    <cellStyle name="_추곡_추곡_라멘교 토공_00-설계서,원가계산,내역서" xfId="986" xr:uid="{00000000-0005-0000-0000-0000D9030000}"/>
    <cellStyle name="_추곡_추곡_설계서-1" xfId="987" xr:uid="{00000000-0005-0000-0000-0000DA030000}"/>
    <cellStyle name="_추곡_추곡_설계서-1_00-설계서,원가계산,내역서" xfId="988" xr:uid="{00000000-0005-0000-0000-0000DB030000}"/>
    <cellStyle name="_추곡_추곡_율동자연공원내 화장실 보수 및 도색공사" xfId="989" xr:uid="{00000000-0005-0000-0000-0000DC030000}"/>
    <cellStyle name="_추곡_추곡_율동자연공원내 화장실 보수 및 도색공사_00-설계서,원가계산,내역서" xfId="990" xr:uid="{00000000-0005-0000-0000-0000DD030000}"/>
    <cellStyle name="_추곡_추곡_율동자연공원내 화장실 보수 및 도색공사_내역서-최종0223" xfId="991" xr:uid="{00000000-0005-0000-0000-0000DE030000}"/>
    <cellStyle name="_추곡_추곡_율동자연공원내 화장실 보수 및 도색공사_내역서-최종0223_00-설계서,원가계산,내역서" xfId="992" xr:uid="{00000000-0005-0000-0000-0000DF030000}"/>
    <cellStyle name="_추곡_추곡_율동자연공원내 화장실 보수 및 도색공사_내역서-최종0223_설계서-1" xfId="993" xr:uid="{00000000-0005-0000-0000-0000E0030000}"/>
    <cellStyle name="_추곡_추곡_율동자연공원내 화장실 보수 및 도색공사_내역서-최종0223_설계서-1_00-설계서,원가계산,내역서" xfId="994" xr:uid="{00000000-0005-0000-0000-0000E1030000}"/>
    <cellStyle name="_추곡_추곡_율동자연공원내 화장실 보수 및 도색공사_내역서-최종0223_진해자은수량산출서(단지내)" xfId="995" xr:uid="{00000000-0005-0000-0000-0000E2030000}"/>
    <cellStyle name="_추곡_추곡_율동자연공원내 화장실 보수 및 도색공사_내역서-최종0223_진해자은수량산출서(단지내)_00-설계서,원가계산,내역서" xfId="996" xr:uid="{00000000-0005-0000-0000-0000E3030000}"/>
    <cellStyle name="_추곡_추곡_율동자연공원내 화장실 보수 및 도색공사_내역서-최종0223_진해자은수량산출서(단지내)_기초산출표-56-128-최종" xfId="997" xr:uid="{00000000-0005-0000-0000-0000E4030000}"/>
    <cellStyle name="_추곡_추곡_율동자연공원내 화장실 보수 및 도색공사_내역서-최종0223_진해자은수량산출서(단지내)_기초산출표-56-128-최종_00-설계서,원가계산,내역서" xfId="998" xr:uid="{00000000-0005-0000-0000-0000E5030000}"/>
    <cellStyle name="_추곡_추곡_율동자연공원내 화장실 보수 및 도색공사_내역서-최종0223_진해자은수량산출서(단지내)_기초산출표-56-128-최종_설계서-1" xfId="999" xr:uid="{00000000-0005-0000-0000-0000E6030000}"/>
    <cellStyle name="_추곡_추곡_율동자연공원내 화장실 보수 및 도색공사_내역서-최종0223_진해자은수량산출서(단지내)_기초산출표-56-128-최종_설계서-1_00-설계서,원가계산,내역서" xfId="1000" xr:uid="{00000000-0005-0000-0000-0000E7030000}"/>
    <cellStyle name="_추곡_추곡_율동자연공원내 화장실 보수 및 도색공사_내역서-최종0223_진해자은수량산출서(단지내)_설계서-1" xfId="1001" xr:uid="{00000000-0005-0000-0000-0000E8030000}"/>
    <cellStyle name="_추곡_추곡_율동자연공원내 화장실 보수 및 도색공사_내역서-최종0223_진해자은수량산출서(단지내)_설계서-1_00-설계서,원가계산,내역서" xfId="1002" xr:uid="{00000000-0005-0000-0000-0000E9030000}"/>
    <cellStyle name="_추곡_추곡_율동자연공원내 화장실 보수 및 도색공사_내역서-최종0223_진해자은수량산출서(단지내)_취합" xfId="1003" xr:uid="{00000000-0005-0000-0000-0000EA030000}"/>
    <cellStyle name="_추곡_추곡_율동자연공원내 화장실 보수 및 도색공사_내역서-최종0223_진해자은수량산출서(단지내)_취합_00-설계서,원가계산,내역서" xfId="1004" xr:uid="{00000000-0005-0000-0000-0000EB030000}"/>
    <cellStyle name="_추곡_추곡_율동자연공원내 화장실 보수 및 도색공사_내역서-최종0223_진해자은수량산출서(단지내)_취합_설계서-1" xfId="1005" xr:uid="{00000000-0005-0000-0000-0000EC030000}"/>
    <cellStyle name="_추곡_추곡_율동자연공원내 화장실 보수 및 도색공사_내역서-최종0223_진해자은수량산출서(단지내)_취합_설계서-1_00-설계서,원가계산,내역서" xfId="1006" xr:uid="{00000000-0005-0000-0000-0000ED030000}"/>
    <cellStyle name="_추곡_추곡_율동자연공원내 화장실 보수 및 도색공사_설계서-1" xfId="1007" xr:uid="{00000000-0005-0000-0000-0000EE030000}"/>
    <cellStyle name="_추곡_추곡_율동자연공원내 화장실 보수 및 도색공사_설계서-1_00-설계서,원가계산,내역서" xfId="1008" xr:uid="{00000000-0005-0000-0000-0000EF030000}"/>
    <cellStyle name="_추곡_추곡_율동자연공원내 화장실 보수 및 도색공사_진해자은수량산출서(단지내)" xfId="1009" xr:uid="{00000000-0005-0000-0000-0000F0030000}"/>
    <cellStyle name="_추곡_추곡_율동자연공원내 화장실 보수 및 도색공사_진해자은수량산출서(단지내)_00-설계서,원가계산,내역서" xfId="1010" xr:uid="{00000000-0005-0000-0000-0000F1030000}"/>
    <cellStyle name="_추곡_추곡_율동자연공원내 화장실 보수 및 도색공사_진해자은수량산출서(단지내)_기초산출표-56-128-최종" xfId="1011" xr:uid="{00000000-0005-0000-0000-0000F2030000}"/>
    <cellStyle name="_추곡_추곡_율동자연공원내 화장실 보수 및 도색공사_진해자은수량산출서(단지내)_기초산출표-56-128-최종_00-설계서,원가계산,내역서" xfId="1012" xr:uid="{00000000-0005-0000-0000-0000F3030000}"/>
    <cellStyle name="_추곡_추곡_율동자연공원내 화장실 보수 및 도색공사_진해자은수량산출서(단지내)_기초산출표-56-128-최종_설계서-1" xfId="1013" xr:uid="{00000000-0005-0000-0000-0000F4030000}"/>
    <cellStyle name="_추곡_추곡_율동자연공원내 화장실 보수 및 도색공사_진해자은수량산출서(단지내)_기초산출표-56-128-최종_설계서-1_00-설계서,원가계산,내역서" xfId="1014" xr:uid="{00000000-0005-0000-0000-0000F5030000}"/>
    <cellStyle name="_추곡_추곡_율동자연공원내 화장실 보수 및 도색공사_진해자은수량산출서(단지내)_설계서-1" xfId="1015" xr:uid="{00000000-0005-0000-0000-0000F6030000}"/>
    <cellStyle name="_추곡_추곡_율동자연공원내 화장실 보수 및 도색공사_진해자은수량산출서(단지내)_설계서-1_00-설계서,원가계산,내역서" xfId="1016" xr:uid="{00000000-0005-0000-0000-0000F7030000}"/>
    <cellStyle name="_추곡_추곡_율동자연공원내 화장실 보수 및 도색공사_진해자은수량산출서(단지내)_취합" xfId="1017" xr:uid="{00000000-0005-0000-0000-0000F8030000}"/>
    <cellStyle name="_추곡_추곡_율동자연공원내 화장실 보수 및 도색공사_진해자은수량산출서(단지내)_취합_00-설계서,원가계산,내역서" xfId="1018" xr:uid="{00000000-0005-0000-0000-0000F9030000}"/>
    <cellStyle name="_추곡_추곡_율동자연공원내 화장실 보수 및 도색공사_진해자은수량산출서(단지내)_취합_설계서-1" xfId="1019" xr:uid="{00000000-0005-0000-0000-0000FA030000}"/>
    <cellStyle name="_추곡_추곡_율동자연공원내 화장실 보수 및 도색공사_진해자은수량산출서(단지내)_취합_설계서-1_00-설계서,원가계산,내역서" xfId="1020" xr:uid="{00000000-0005-0000-0000-0000FB030000}"/>
    <cellStyle name="_추곡_추곡_율동자연공원내 휴게편의점 도색작업-할증-천정면적추가" xfId="1021" xr:uid="{00000000-0005-0000-0000-0000FC030000}"/>
    <cellStyle name="_추곡_추곡_율동자연공원내 휴게편의점 도색작업-할증-천정면적추가_00-설계서,원가계산,내역서" xfId="1022" xr:uid="{00000000-0005-0000-0000-0000FD030000}"/>
    <cellStyle name="_추곡_추곡_율동자연공원내 휴게편의점 도색작업-할증-천정면적추가_내역서-최종0223" xfId="1023" xr:uid="{00000000-0005-0000-0000-0000FE030000}"/>
    <cellStyle name="_추곡_추곡_율동자연공원내 휴게편의점 도색작업-할증-천정면적추가_내역서-최종0223_00-설계서,원가계산,내역서" xfId="1024" xr:uid="{00000000-0005-0000-0000-0000FF030000}"/>
    <cellStyle name="_추곡_추곡_율동자연공원내 휴게편의점 도색작업-할증-천정면적추가_내역서-최종0223_설계서-1" xfId="1025" xr:uid="{00000000-0005-0000-0000-000000040000}"/>
    <cellStyle name="_추곡_추곡_율동자연공원내 휴게편의점 도색작업-할증-천정면적추가_내역서-최종0223_설계서-1_00-설계서,원가계산,내역서" xfId="1026" xr:uid="{00000000-0005-0000-0000-000001040000}"/>
    <cellStyle name="_추곡_추곡_율동자연공원내 휴게편의점 도색작업-할증-천정면적추가_내역서-최종0223_진해자은수량산출서(단지내)" xfId="1027" xr:uid="{00000000-0005-0000-0000-000002040000}"/>
    <cellStyle name="_추곡_추곡_율동자연공원내 휴게편의점 도색작업-할증-천정면적추가_내역서-최종0223_진해자은수량산출서(단지내)_00-설계서,원가계산,내역서" xfId="1028" xr:uid="{00000000-0005-0000-0000-000003040000}"/>
    <cellStyle name="_추곡_추곡_율동자연공원내 휴게편의점 도색작업-할증-천정면적추가_내역서-최종0223_진해자은수량산출서(단지내)_기초산출표-56-128-최종" xfId="1029" xr:uid="{00000000-0005-0000-0000-000004040000}"/>
    <cellStyle name="_추곡_추곡_율동자연공원내 휴게편의점 도색작업-할증-천정면적추가_내역서-최종0223_진해자은수량산출서(단지내)_기초산출표-56-128-최종_00-설계서,원가계산,내역서" xfId="1030" xr:uid="{00000000-0005-0000-0000-000005040000}"/>
    <cellStyle name="_추곡_추곡_율동자연공원내 휴게편의점 도색작업-할증-천정면적추가_내역서-최종0223_진해자은수량산출서(단지내)_기초산출표-56-128-최종_설계서-1" xfId="1031" xr:uid="{00000000-0005-0000-0000-000006040000}"/>
    <cellStyle name="_추곡_추곡_율동자연공원내 휴게편의점 도색작업-할증-천정면적추가_내역서-최종0223_진해자은수량산출서(단지내)_기초산출표-56-128-최종_설계서-1_00-설계서,원가계산,내역서" xfId="1032" xr:uid="{00000000-0005-0000-0000-000007040000}"/>
    <cellStyle name="_추곡_추곡_율동자연공원내 휴게편의점 도색작업-할증-천정면적추가_내역서-최종0223_진해자은수량산출서(단지내)_설계서-1" xfId="1033" xr:uid="{00000000-0005-0000-0000-000008040000}"/>
    <cellStyle name="_추곡_추곡_율동자연공원내 휴게편의점 도색작업-할증-천정면적추가_내역서-최종0223_진해자은수량산출서(단지내)_설계서-1_00-설계서,원가계산,내역서" xfId="1034" xr:uid="{00000000-0005-0000-0000-000009040000}"/>
    <cellStyle name="_추곡_추곡_율동자연공원내 휴게편의점 도색작업-할증-천정면적추가_내역서-최종0223_진해자은수량산출서(단지내)_취합" xfId="1035" xr:uid="{00000000-0005-0000-0000-00000A040000}"/>
    <cellStyle name="_추곡_추곡_율동자연공원내 휴게편의점 도색작업-할증-천정면적추가_내역서-최종0223_진해자은수량산출서(단지내)_취합_00-설계서,원가계산,내역서" xfId="1036" xr:uid="{00000000-0005-0000-0000-00000B040000}"/>
    <cellStyle name="_추곡_추곡_율동자연공원내 휴게편의점 도색작업-할증-천정면적추가_내역서-최종0223_진해자은수량산출서(단지내)_취합_설계서-1" xfId="1037" xr:uid="{00000000-0005-0000-0000-00000C040000}"/>
    <cellStyle name="_추곡_추곡_율동자연공원내 휴게편의점 도색작업-할증-천정면적추가_내역서-최종0223_진해자은수량산출서(단지내)_취합_설계서-1_00-설계서,원가계산,내역서" xfId="1038" xr:uid="{00000000-0005-0000-0000-00000D040000}"/>
    <cellStyle name="_추곡_추곡_율동자연공원내 휴게편의점 도색작업-할증-천정면적추가_설계서-1" xfId="1039" xr:uid="{00000000-0005-0000-0000-00000E040000}"/>
    <cellStyle name="_추곡_추곡_율동자연공원내 휴게편의점 도색작업-할증-천정면적추가_설계서-1_00-설계서,원가계산,내역서" xfId="1040" xr:uid="{00000000-0005-0000-0000-00000F040000}"/>
    <cellStyle name="_추곡_추곡_율동자연공원내 휴게편의점 도색작업-할증-천정면적추가_진해자은수량산출서(단지내)" xfId="1041" xr:uid="{00000000-0005-0000-0000-000010040000}"/>
    <cellStyle name="_추곡_추곡_율동자연공원내 휴게편의점 도색작업-할증-천정면적추가_진해자은수량산출서(단지내)_00-설계서,원가계산,내역서" xfId="1042" xr:uid="{00000000-0005-0000-0000-000011040000}"/>
    <cellStyle name="_추곡_추곡_율동자연공원내 휴게편의점 도색작업-할증-천정면적추가_진해자은수량산출서(단지내)_기초산출표-56-128-최종" xfId="1043" xr:uid="{00000000-0005-0000-0000-000012040000}"/>
    <cellStyle name="_추곡_추곡_율동자연공원내 휴게편의점 도색작업-할증-천정면적추가_진해자은수량산출서(단지내)_기초산출표-56-128-최종_00-설계서,원가계산,내역서" xfId="1044" xr:uid="{00000000-0005-0000-0000-000013040000}"/>
    <cellStyle name="_추곡_추곡_율동자연공원내 휴게편의점 도색작업-할증-천정면적추가_진해자은수량산출서(단지내)_기초산출표-56-128-최종_설계서-1" xfId="1045" xr:uid="{00000000-0005-0000-0000-000014040000}"/>
    <cellStyle name="_추곡_추곡_율동자연공원내 휴게편의점 도색작업-할증-천정면적추가_진해자은수량산출서(단지내)_기초산출표-56-128-최종_설계서-1_00-설계서,원가계산,내역서" xfId="1046" xr:uid="{00000000-0005-0000-0000-000015040000}"/>
    <cellStyle name="_추곡_추곡_율동자연공원내 휴게편의점 도색작업-할증-천정면적추가_진해자은수량산출서(단지내)_설계서-1" xfId="1047" xr:uid="{00000000-0005-0000-0000-000016040000}"/>
    <cellStyle name="_추곡_추곡_율동자연공원내 휴게편의점 도색작업-할증-천정면적추가_진해자은수량산출서(단지내)_설계서-1_00-설계서,원가계산,내역서" xfId="1048" xr:uid="{00000000-0005-0000-0000-000017040000}"/>
    <cellStyle name="_추곡_추곡_율동자연공원내 휴게편의점 도색작업-할증-천정면적추가_진해자은수량산출서(단지내)_취합" xfId="1049" xr:uid="{00000000-0005-0000-0000-000018040000}"/>
    <cellStyle name="_추곡_추곡_율동자연공원내 휴게편의점 도색작업-할증-천정면적추가_진해자은수량산출서(단지내)_취합_00-설계서,원가계산,내역서" xfId="1050" xr:uid="{00000000-0005-0000-0000-000019040000}"/>
    <cellStyle name="_추곡_추곡_율동자연공원내 휴게편의점 도색작업-할증-천정면적추가_진해자은수량산출서(단지내)_취합_설계서-1" xfId="1051" xr:uid="{00000000-0005-0000-0000-00001A040000}"/>
    <cellStyle name="_추곡_추곡_율동자연공원내 휴게편의점 도색작업-할증-천정면적추가_진해자은수량산출서(단지내)_취합_설계서-1_00-설계서,원가계산,내역서" xfId="1052" xr:uid="{00000000-0005-0000-0000-00001B040000}"/>
    <cellStyle name="_추곡_추곡_이문동구간중랑천변녹화사업(수량산출서, 071127)-최종" xfId="1053" xr:uid="{00000000-0005-0000-0000-00001C040000}"/>
    <cellStyle name="_추곡_추곡_이문동구간중랑천변녹화사업(수량산출서, 071127)-최종_00-설계서,원가계산,내역서" xfId="1054" xr:uid="{00000000-0005-0000-0000-00001D040000}"/>
    <cellStyle name="_추곡_추곡_진해자은수량산출서(단지내)" xfId="1055" xr:uid="{00000000-0005-0000-0000-00001E040000}"/>
    <cellStyle name="_추곡_추곡_진해자은수량산출서(단지내)_00-설계서,원가계산,내역서" xfId="1056" xr:uid="{00000000-0005-0000-0000-00001F040000}"/>
    <cellStyle name="_추곡_추곡_진해자은수량산출서(단지내)_기초산출표-56-128-최종" xfId="1057" xr:uid="{00000000-0005-0000-0000-000020040000}"/>
    <cellStyle name="_추곡_추곡_진해자은수량산출서(단지내)_기초산출표-56-128-최종_00-설계서,원가계산,내역서" xfId="1058" xr:uid="{00000000-0005-0000-0000-000021040000}"/>
    <cellStyle name="_추곡_추곡_진해자은수량산출서(단지내)_기초산출표-56-128-최종_설계서-1" xfId="1059" xr:uid="{00000000-0005-0000-0000-000022040000}"/>
    <cellStyle name="_추곡_추곡_진해자은수량산출서(단지내)_기초산출표-56-128-최종_설계서-1_00-설계서,원가계산,내역서" xfId="1060" xr:uid="{00000000-0005-0000-0000-000023040000}"/>
    <cellStyle name="_추곡_추곡_진해자은수량산출서(단지내)_설계서-1" xfId="1061" xr:uid="{00000000-0005-0000-0000-000024040000}"/>
    <cellStyle name="_추곡_추곡_진해자은수량산출서(단지내)_설계서-1_00-설계서,원가계산,내역서" xfId="1062" xr:uid="{00000000-0005-0000-0000-000025040000}"/>
    <cellStyle name="_추곡_추곡_진해자은수량산출서(단지내)_취합" xfId="1063" xr:uid="{00000000-0005-0000-0000-000026040000}"/>
    <cellStyle name="_추곡_추곡_진해자은수량산출서(단지내)_취합_00-설계서,원가계산,내역서" xfId="1064" xr:uid="{00000000-0005-0000-0000-000027040000}"/>
    <cellStyle name="_추곡_추곡_진해자은수량산출서(단지내)_취합_설계서-1" xfId="1065" xr:uid="{00000000-0005-0000-0000-000028040000}"/>
    <cellStyle name="_추곡_추곡_진해자은수량산출서(단지내)_취합_설계서-1_00-설계서,원가계산,내역서" xfId="1066" xr:uid="{00000000-0005-0000-0000-000029040000}"/>
    <cellStyle name="_추곡_추곡_포장" xfId="1067" xr:uid="{00000000-0005-0000-0000-00002A040000}"/>
    <cellStyle name="_추곡_추곡_포장_00-설계서,원가계산,내역서" xfId="1068" xr:uid="{00000000-0005-0000-0000-00002B040000}"/>
    <cellStyle name="_추곡_추곡_포장_라멘교 토공" xfId="1069" xr:uid="{00000000-0005-0000-0000-00002C040000}"/>
    <cellStyle name="_추곡_추곡_포장_라멘교 토공_00-설계서,원가계산,내역서" xfId="1070" xr:uid="{00000000-0005-0000-0000-00002D040000}"/>
    <cellStyle name="_추곡_포장" xfId="1071" xr:uid="{00000000-0005-0000-0000-00002E040000}"/>
    <cellStyle name="_추곡_포장_00-설계서,원가계산,내역서" xfId="1072" xr:uid="{00000000-0005-0000-0000-00002F040000}"/>
    <cellStyle name="_추곡_포장_라멘교 토공" xfId="1073" xr:uid="{00000000-0005-0000-0000-000030040000}"/>
    <cellStyle name="_추곡_포장_라멘교 토공_00-설계서,원가계산,내역서" xfId="1074" xr:uid="{00000000-0005-0000-0000-000031040000}"/>
    <cellStyle name="_포장" xfId="1075" xr:uid="{00000000-0005-0000-0000-000032040000}"/>
    <cellStyle name="_포장_00-설계서,원가계산,내역서" xfId="1076" xr:uid="{00000000-0005-0000-0000-000033040000}"/>
    <cellStyle name="_포장_라멘교 토공" xfId="1077" xr:uid="{00000000-0005-0000-0000-000034040000}"/>
    <cellStyle name="_포장_라멘교 토공_00-설계서,원가계산,내역서" xfId="1078" xr:uid="{00000000-0005-0000-0000-000035040000}"/>
    <cellStyle name="_호수SS내역서040920" xfId="1079" xr:uid="{00000000-0005-0000-0000-000036040000}"/>
    <cellStyle name="_호텔약전전기공사(1공구)-발의" xfId="1080" xr:uid="{00000000-0005-0000-0000-000037040000}"/>
    <cellStyle name="_홍보관수량참고(특성화설계서)" xfId="1081" xr:uid="{00000000-0005-0000-0000-000038040000}"/>
    <cellStyle name="??&amp;O?&amp;H?_x0008__x000f__x0007_?_x0007__x0001__x0001_" xfId="1082" xr:uid="{00000000-0005-0000-0000-000039040000}"/>
    <cellStyle name="??&amp;O?&amp;H?_x0008_??_x0007__x0001__x0001_" xfId="1083" xr:uid="{00000000-0005-0000-0000-00003A040000}"/>
    <cellStyle name="?W?_laroux" xfId="1084" xr:uid="{00000000-0005-0000-0000-00003B040000}"/>
    <cellStyle name="?曹%U?&amp;H?_x0008_?s_x000a__x0007__x0001__x0001_" xfId="1085" xr:uid="{00000000-0005-0000-0000-00003C040000}"/>
    <cellStyle name="' '" xfId="1086" xr:uid="{00000000-0005-0000-0000-00003D040000}"/>
    <cellStyle name="’E‰Y [0.00]_laroux" xfId="1087" xr:uid="{00000000-0005-0000-0000-00003E040000}"/>
    <cellStyle name="’E‰Y_laroux" xfId="1088" xr:uid="{00000000-0005-0000-0000-00003F040000}"/>
    <cellStyle name="&quot;" xfId="1089" xr:uid="{00000000-0005-0000-0000-000040040000}"/>
    <cellStyle name="(##.00)" xfId="1090" xr:uid="{00000000-0005-0000-0000-000041040000}"/>
    <cellStyle name="(△콤마)" xfId="1091" xr:uid="{00000000-0005-0000-0000-000042040000}"/>
    <cellStyle name="(백분율)" xfId="1092" xr:uid="{00000000-0005-0000-0000-000043040000}"/>
    <cellStyle name="(콤마)" xfId="1093" xr:uid="{00000000-0005-0000-0000-000044040000}"/>
    <cellStyle name="#,##0" xfId="1094" xr:uid="{00000000-0005-0000-0000-000045040000}"/>
    <cellStyle name="+,-,0" xfId="1095" xr:uid="{00000000-0005-0000-0000-000046040000}"/>
    <cellStyle name="△ []" xfId="1096" xr:uid="{00000000-0005-0000-0000-000047040000}"/>
    <cellStyle name="△ [0]" xfId="1097" xr:uid="{00000000-0005-0000-0000-000048040000}"/>
    <cellStyle name="△백분율" xfId="1098" xr:uid="{00000000-0005-0000-0000-000049040000}"/>
    <cellStyle name="△콤마" xfId="1099" xr:uid="{00000000-0005-0000-0000-00004A040000}"/>
    <cellStyle name="¤@?e_TEST-1 " xfId="1100" xr:uid="{00000000-0005-0000-0000-00004B040000}"/>
    <cellStyle name="0" xfId="1101" xr:uid="{00000000-0005-0000-0000-00004C040000}"/>
    <cellStyle name="0.0" xfId="1102" xr:uid="{00000000-0005-0000-0000-00004D040000}"/>
    <cellStyle name="0.00" xfId="1103" xr:uid="{00000000-0005-0000-0000-00004E040000}"/>
    <cellStyle name="00" xfId="1104" xr:uid="{00000000-0005-0000-0000-00004F040000}"/>
    <cellStyle name="1" xfId="1105" xr:uid="{00000000-0005-0000-0000-000050040000}"/>
    <cellStyle name="1_00-수량산출서" xfId="1106" xr:uid="{00000000-0005-0000-0000-000051040000}"/>
    <cellStyle name="1_00-예산서양식100" xfId="1107" xr:uid="{00000000-0005-0000-0000-000052040000}"/>
    <cellStyle name="1_01-내역서(071118)" xfId="1108" xr:uid="{00000000-0005-0000-0000-000053040000}"/>
    <cellStyle name="1_22bl3lot수량산출" xfId="1109" xr:uid="{00000000-0005-0000-0000-000054040000}"/>
    <cellStyle name="1_22수량산출서(총괄)" xfId="1110" xr:uid="{00000000-0005-0000-0000-000055040000}"/>
    <cellStyle name="1_laroux" xfId="1111" xr:uid="{00000000-0005-0000-0000-000056040000}"/>
    <cellStyle name="1_laroux_ATC-YOON1" xfId="1112" xr:uid="{00000000-0005-0000-0000-000057040000}"/>
    <cellStyle name="1_total" xfId="1113" xr:uid="{00000000-0005-0000-0000-000058040000}"/>
    <cellStyle name="1_total_00-설계서,원가계산,내역서" xfId="1114" xr:uid="{00000000-0005-0000-0000-000059040000}"/>
    <cellStyle name="1_total_00-수량산출서" xfId="1115" xr:uid="{00000000-0005-0000-0000-00005A040000}"/>
    <cellStyle name="1_total_00-수량산출서_00-설계서,원가계산,내역서" xfId="1116" xr:uid="{00000000-0005-0000-0000-00005B040000}"/>
    <cellStyle name="1_total_01-내역서(071118)" xfId="1117" xr:uid="{00000000-0005-0000-0000-00005C040000}"/>
    <cellStyle name="1_total_01-내역서(071118)_00-설계서,원가계산,내역서" xfId="1118" xr:uid="{00000000-0005-0000-0000-00005D040000}"/>
    <cellStyle name="1_total_구로리총괄내역" xfId="1119" xr:uid="{00000000-0005-0000-0000-00005E040000}"/>
    <cellStyle name="1_total_구로리총괄내역_00-설계서,원가계산,내역서" xfId="1120" xr:uid="{00000000-0005-0000-0000-00005F040000}"/>
    <cellStyle name="1_total_구로리총괄내역_구로리설계예산서1029" xfId="1121" xr:uid="{00000000-0005-0000-0000-000060040000}"/>
    <cellStyle name="1_total_구로리총괄내역_구로리설계예산서1029_00-설계서,원가계산,내역서" xfId="1122" xr:uid="{00000000-0005-0000-0000-000061040000}"/>
    <cellStyle name="1_total_구로리총괄내역_구로리설계예산서1029_설계서-1" xfId="1123" xr:uid="{00000000-0005-0000-0000-000062040000}"/>
    <cellStyle name="1_total_구로리총괄내역_구로리설계예산서1029_설계서-1_00-설계서,원가계산,내역서" xfId="1124" xr:uid="{00000000-0005-0000-0000-000063040000}"/>
    <cellStyle name="1_total_구로리총괄내역_구로리설계예산서1029_진해자은수량산출서(단지내)" xfId="1125" xr:uid="{00000000-0005-0000-0000-000064040000}"/>
    <cellStyle name="1_total_구로리총괄내역_구로리설계예산서1029_진해자은수량산출서(단지내)_00-설계서,원가계산,내역서" xfId="1126" xr:uid="{00000000-0005-0000-0000-000065040000}"/>
    <cellStyle name="1_total_구로리총괄내역_구로리설계예산서1029_진해자은수량산출서(단지내)_기초산출표-56-128-최종" xfId="1127" xr:uid="{00000000-0005-0000-0000-000066040000}"/>
    <cellStyle name="1_total_구로리총괄내역_구로리설계예산서1029_진해자은수량산출서(단지내)_기초산출표-56-128-최종_00-설계서,원가계산,내역서" xfId="1128" xr:uid="{00000000-0005-0000-0000-000067040000}"/>
    <cellStyle name="1_total_구로리총괄내역_구로리설계예산서1029_진해자은수량산출서(단지내)_기초산출표-56-128-최종_설계서-1" xfId="1129" xr:uid="{00000000-0005-0000-0000-000068040000}"/>
    <cellStyle name="1_total_구로리총괄내역_구로리설계예산서1029_진해자은수량산출서(단지내)_기초산출표-56-128-최종_설계서-1_00-설계서,원가계산,내역서" xfId="1130" xr:uid="{00000000-0005-0000-0000-000069040000}"/>
    <cellStyle name="1_total_구로리총괄내역_구로리설계예산서1029_진해자은수량산출서(단지내)_설계서-1" xfId="1131" xr:uid="{00000000-0005-0000-0000-00006A040000}"/>
    <cellStyle name="1_total_구로리총괄내역_구로리설계예산서1029_진해자은수량산출서(단지내)_설계서-1_00-설계서,원가계산,내역서" xfId="1132" xr:uid="{00000000-0005-0000-0000-00006B040000}"/>
    <cellStyle name="1_total_구로리총괄내역_구로리설계예산서1029_진해자은수량산출서(단지내)_취합" xfId="1133" xr:uid="{00000000-0005-0000-0000-00006C040000}"/>
    <cellStyle name="1_total_구로리총괄내역_구로리설계예산서1029_진해자은수량산출서(단지내)_취합_00-설계서,원가계산,내역서" xfId="1134" xr:uid="{00000000-0005-0000-0000-00006D040000}"/>
    <cellStyle name="1_total_구로리총괄내역_구로리설계예산서1029_진해자은수량산출서(단지내)_취합_설계서-1" xfId="1135" xr:uid="{00000000-0005-0000-0000-00006E040000}"/>
    <cellStyle name="1_total_구로리총괄내역_구로리설계예산서1029_진해자은수량산출서(단지내)_취합_설계서-1_00-설계서,원가계산,내역서" xfId="1136" xr:uid="{00000000-0005-0000-0000-00006F040000}"/>
    <cellStyle name="1_total_구로리총괄내역_구로리설계예산서1118준공" xfId="1137" xr:uid="{00000000-0005-0000-0000-000070040000}"/>
    <cellStyle name="1_total_구로리총괄내역_구로리설계예산서1118준공_00-설계서,원가계산,내역서" xfId="1138" xr:uid="{00000000-0005-0000-0000-000071040000}"/>
    <cellStyle name="1_total_구로리총괄내역_구로리설계예산서1118준공_설계서-1" xfId="1139" xr:uid="{00000000-0005-0000-0000-000072040000}"/>
    <cellStyle name="1_total_구로리총괄내역_구로리설계예산서1118준공_설계서-1_00-설계서,원가계산,내역서" xfId="1140" xr:uid="{00000000-0005-0000-0000-000073040000}"/>
    <cellStyle name="1_total_구로리총괄내역_구로리설계예산서1118준공_진해자은수량산출서(단지내)" xfId="1141" xr:uid="{00000000-0005-0000-0000-000074040000}"/>
    <cellStyle name="1_total_구로리총괄내역_구로리설계예산서1118준공_진해자은수량산출서(단지내)_00-설계서,원가계산,내역서" xfId="1142" xr:uid="{00000000-0005-0000-0000-000075040000}"/>
    <cellStyle name="1_total_구로리총괄내역_구로리설계예산서1118준공_진해자은수량산출서(단지내)_기초산출표-56-128-최종" xfId="1143" xr:uid="{00000000-0005-0000-0000-000076040000}"/>
    <cellStyle name="1_total_구로리총괄내역_구로리설계예산서1118준공_진해자은수량산출서(단지내)_기초산출표-56-128-최종_00-설계서,원가계산,내역서" xfId="1144" xr:uid="{00000000-0005-0000-0000-000077040000}"/>
    <cellStyle name="1_total_구로리총괄내역_구로리설계예산서1118준공_진해자은수량산출서(단지내)_기초산출표-56-128-최종_설계서-1" xfId="1145" xr:uid="{00000000-0005-0000-0000-000078040000}"/>
    <cellStyle name="1_total_구로리총괄내역_구로리설계예산서1118준공_진해자은수량산출서(단지내)_기초산출표-56-128-최종_설계서-1_00-설계서,원가계산,내역서" xfId="1146" xr:uid="{00000000-0005-0000-0000-000079040000}"/>
    <cellStyle name="1_total_구로리총괄내역_구로리설계예산서1118준공_진해자은수량산출서(단지내)_설계서-1" xfId="1147" xr:uid="{00000000-0005-0000-0000-00007A040000}"/>
    <cellStyle name="1_total_구로리총괄내역_구로리설계예산서1118준공_진해자은수량산출서(단지내)_설계서-1_00-설계서,원가계산,내역서" xfId="1148" xr:uid="{00000000-0005-0000-0000-00007B040000}"/>
    <cellStyle name="1_total_구로리총괄내역_구로리설계예산서1118준공_진해자은수량산출서(단지내)_취합" xfId="1149" xr:uid="{00000000-0005-0000-0000-00007C040000}"/>
    <cellStyle name="1_total_구로리총괄내역_구로리설계예산서1118준공_진해자은수량산출서(단지내)_취합_00-설계서,원가계산,내역서" xfId="1150" xr:uid="{00000000-0005-0000-0000-00007D040000}"/>
    <cellStyle name="1_total_구로리총괄내역_구로리설계예산서1118준공_진해자은수량산출서(단지내)_취합_설계서-1" xfId="1151" xr:uid="{00000000-0005-0000-0000-00007E040000}"/>
    <cellStyle name="1_total_구로리총괄내역_구로리설계예산서1118준공_진해자은수량산출서(단지내)_취합_설계서-1_00-설계서,원가계산,내역서" xfId="1152" xr:uid="{00000000-0005-0000-0000-00007F040000}"/>
    <cellStyle name="1_total_구로리총괄내역_구로리설계예산서조경" xfId="1153" xr:uid="{00000000-0005-0000-0000-000080040000}"/>
    <cellStyle name="1_total_구로리총괄내역_구로리설계예산서조경_00-설계서,원가계산,내역서" xfId="1154" xr:uid="{00000000-0005-0000-0000-000081040000}"/>
    <cellStyle name="1_total_구로리총괄내역_구로리설계예산서조경_설계서-1" xfId="1155" xr:uid="{00000000-0005-0000-0000-000082040000}"/>
    <cellStyle name="1_total_구로리총괄내역_구로리설계예산서조경_설계서-1_00-설계서,원가계산,내역서" xfId="1156" xr:uid="{00000000-0005-0000-0000-000083040000}"/>
    <cellStyle name="1_total_구로리총괄내역_구로리설계예산서조경_진해자은수량산출서(단지내)" xfId="1157" xr:uid="{00000000-0005-0000-0000-000084040000}"/>
    <cellStyle name="1_total_구로리총괄내역_구로리설계예산서조경_진해자은수량산출서(단지내)_00-설계서,원가계산,내역서" xfId="1158" xr:uid="{00000000-0005-0000-0000-000085040000}"/>
    <cellStyle name="1_total_구로리총괄내역_구로리설계예산서조경_진해자은수량산출서(단지내)_기초산출표-56-128-최종" xfId="1159" xr:uid="{00000000-0005-0000-0000-000086040000}"/>
    <cellStyle name="1_total_구로리총괄내역_구로리설계예산서조경_진해자은수량산출서(단지내)_기초산출표-56-128-최종_00-설계서,원가계산,내역서" xfId="1160" xr:uid="{00000000-0005-0000-0000-000087040000}"/>
    <cellStyle name="1_total_구로리총괄내역_구로리설계예산서조경_진해자은수량산출서(단지내)_기초산출표-56-128-최종_설계서-1" xfId="1161" xr:uid="{00000000-0005-0000-0000-000088040000}"/>
    <cellStyle name="1_total_구로리총괄내역_구로리설계예산서조경_진해자은수량산출서(단지내)_기초산출표-56-128-최종_설계서-1_00-설계서,원가계산,내역서" xfId="1162" xr:uid="{00000000-0005-0000-0000-000089040000}"/>
    <cellStyle name="1_total_구로리총괄내역_구로리설계예산서조경_진해자은수량산출서(단지내)_설계서-1" xfId="1163" xr:uid="{00000000-0005-0000-0000-00008A040000}"/>
    <cellStyle name="1_total_구로리총괄내역_구로리설계예산서조경_진해자은수량산출서(단지내)_설계서-1_00-설계서,원가계산,내역서" xfId="1164" xr:uid="{00000000-0005-0000-0000-00008B040000}"/>
    <cellStyle name="1_total_구로리총괄내역_구로리설계예산서조경_진해자은수량산출서(단지내)_취합" xfId="1165" xr:uid="{00000000-0005-0000-0000-00008C040000}"/>
    <cellStyle name="1_total_구로리총괄내역_구로리설계예산서조경_진해자은수량산출서(단지내)_취합_00-설계서,원가계산,내역서" xfId="1166" xr:uid="{00000000-0005-0000-0000-00008D040000}"/>
    <cellStyle name="1_total_구로리총괄내역_구로리설계예산서조경_진해자은수량산출서(단지내)_취합_설계서-1" xfId="1167" xr:uid="{00000000-0005-0000-0000-00008E040000}"/>
    <cellStyle name="1_total_구로리총괄내역_구로리설계예산서조경_진해자은수량산출서(단지내)_취합_설계서-1_00-설계서,원가계산,내역서" xfId="1168" xr:uid="{00000000-0005-0000-0000-00008F040000}"/>
    <cellStyle name="1_total_구로리총괄내역_구로리어린이공원예산서(조경)1125" xfId="1169" xr:uid="{00000000-0005-0000-0000-000090040000}"/>
    <cellStyle name="1_total_구로리총괄내역_구로리어린이공원예산서(조경)1125_00-설계서,원가계산,내역서" xfId="1170" xr:uid="{00000000-0005-0000-0000-000091040000}"/>
    <cellStyle name="1_total_구로리총괄내역_구로리어린이공원예산서(조경)1125_설계서-1" xfId="1171" xr:uid="{00000000-0005-0000-0000-000092040000}"/>
    <cellStyle name="1_total_구로리총괄내역_구로리어린이공원예산서(조경)1125_설계서-1_00-설계서,원가계산,내역서" xfId="1172" xr:uid="{00000000-0005-0000-0000-000093040000}"/>
    <cellStyle name="1_total_구로리총괄내역_구로리어린이공원예산서(조경)1125_진해자은수량산출서(단지내)" xfId="1173" xr:uid="{00000000-0005-0000-0000-000094040000}"/>
    <cellStyle name="1_total_구로리총괄내역_구로리어린이공원예산서(조경)1125_진해자은수량산출서(단지내)_00-설계서,원가계산,내역서" xfId="1174" xr:uid="{00000000-0005-0000-0000-000095040000}"/>
    <cellStyle name="1_total_구로리총괄내역_구로리어린이공원예산서(조경)1125_진해자은수량산출서(단지내)_기초산출표-56-128-최종" xfId="1175" xr:uid="{00000000-0005-0000-0000-000096040000}"/>
    <cellStyle name="1_total_구로리총괄내역_구로리어린이공원예산서(조경)1125_진해자은수량산출서(단지내)_기초산출표-56-128-최종_00-설계서,원가계산,내역서" xfId="1176" xr:uid="{00000000-0005-0000-0000-000097040000}"/>
    <cellStyle name="1_total_구로리총괄내역_구로리어린이공원예산서(조경)1125_진해자은수량산출서(단지내)_기초산출표-56-128-최종_설계서-1" xfId="1177" xr:uid="{00000000-0005-0000-0000-000098040000}"/>
    <cellStyle name="1_total_구로리총괄내역_구로리어린이공원예산서(조경)1125_진해자은수량산출서(단지내)_기초산출표-56-128-최종_설계서-1_00-설계서,원가계산,내역서" xfId="1178" xr:uid="{00000000-0005-0000-0000-000099040000}"/>
    <cellStyle name="1_total_구로리총괄내역_구로리어린이공원예산서(조경)1125_진해자은수량산출서(단지내)_설계서-1" xfId="1179" xr:uid="{00000000-0005-0000-0000-00009A040000}"/>
    <cellStyle name="1_total_구로리총괄내역_구로리어린이공원예산서(조경)1125_진해자은수량산출서(단지내)_설계서-1_00-설계서,원가계산,내역서" xfId="1180" xr:uid="{00000000-0005-0000-0000-00009B040000}"/>
    <cellStyle name="1_total_구로리총괄내역_구로리어린이공원예산서(조경)1125_진해자은수량산출서(단지내)_취합" xfId="1181" xr:uid="{00000000-0005-0000-0000-00009C040000}"/>
    <cellStyle name="1_total_구로리총괄내역_구로리어린이공원예산서(조경)1125_진해자은수량산출서(단지내)_취합_00-설계서,원가계산,내역서" xfId="1182" xr:uid="{00000000-0005-0000-0000-00009D040000}"/>
    <cellStyle name="1_total_구로리총괄내역_구로리어린이공원예산서(조경)1125_진해자은수량산출서(단지내)_취합_설계서-1" xfId="1183" xr:uid="{00000000-0005-0000-0000-00009E040000}"/>
    <cellStyle name="1_total_구로리총괄내역_구로리어린이공원예산서(조경)1125_진해자은수량산출서(단지내)_취합_설계서-1_00-설계서,원가계산,내역서" xfId="1184" xr:uid="{00000000-0005-0000-0000-00009F040000}"/>
    <cellStyle name="1_total_구로리총괄내역_내역서" xfId="1185" xr:uid="{00000000-0005-0000-0000-0000A0040000}"/>
    <cellStyle name="1_total_구로리총괄내역_내역서_00-설계서,원가계산,내역서" xfId="1186" xr:uid="{00000000-0005-0000-0000-0000A1040000}"/>
    <cellStyle name="1_total_구로리총괄내역_내역서_설계서-1" xfId="1187" xr:uid="{00000000-0005-0000-0000-0000A2040000}"/>
    <cellStyle name="1_total_구로리총괄내역_내역서_설계서-1_00-설계서,원가계산,내역서" xfId="1188" xr:uid="{00000000-0005-0000-0000-0000A3040000}"/>
    <cellStyle name="1_total_구로리총괄내역_내역서_진해자은수량산출서(단지내)" xfId="1189" xr:uid="{00000000-0005-0000-0000-0000A4040000}"/>
    <cellStyle name="1_total_구로리총괄내역_내역서_진해자은수량산출서(단지내)_00-설계서,원가계산,내역서" xfId="1190" xr:uid="{00000000-0005-0000-0000-0000A5040000}"/>
    <cellStyle name="1_total_구로리총괄내역_내역서_진해자은수량산출서(단지내)_기초산출표-56-128-최종" xfId="1191" xr:uid="{00000000-0005-0000-0000-0000A6040000}"/>
    <cellStyle name="1_total_구로리총괄내역_내역서_진해자은수량산출서(단지내)_기초산출표-56-128-최종_00-설계서,원가계산,내역서" xfId="1192" xr:uid="{00000000-0005-0000-0000-0000A7040000}"/>
    <cellStyle name="1_total_구로리총괄내역_내역서_진해자은수량산출서(단지내)_기초산출표-56-128-최종_설계서-1" xfId="1193" xr:uid="{00000000-0005-0000-0000-0000A8040000}"/>
    <cellStyle name="1_total_구로리총괄내역_내역서_진해자은수량산출서(단지내)_기초산출표-56-128-최종_설계서-1_00-설계서,원가계산,내역서" xfId="1194" xr:uid="{00000000-0005-0000-0000-0000A9040000}"/>
    <cellStyle name="1_total_구로리총괄내역_내역서_진해자은수량산출서(단지내)_설계서-1" xfId="1195" xr:uid="{00000000-0005-0000-0000-0000AA040000}"/>
    <cellStyle name="1_total_구로리총괄내역_내역서_진해자은수량산출서(단지내)_설계서-1_00-설계서,원가계산,내역서" xfId="1196" xr:uid="{00000000-0005-0000-0000-0000AB040000}"/>
    <cellStyle name="1_total_구로리총괄내역_내역서_진해자은수량산출서(단지내)_취합" xfId="1197" xr:uid="{00000000-0005-0000-0000-0000AC040000}"/>
    <cellStyle name="1_total_구로리총괄내역_내역서_진해자은수량산출서(단지내)_취합_00-설계서,원가계산,내역서" xfId="1198" xr:uid="{00000000-0005-0000-0000-0000AD040000}"/>
    <cellStyle name="1_total_구로리총괄내역_내역서_진해자은수량산출서(단지내)_취합_설계서-1" xfId="1199" xr:uid="{00000000-0005-0000-0000-0000AE040000}"/>
    <cellStyle name="1_total_구로리총괄내역_내역서_진해자은수량산출서(단지내)_취합_설계서-1_00-설계서,원가계산,내역서" xfId="1200" xr:uid="{00000000-0005-0000-0000-0000AF040000}"/>
    <cellStyle name="1_total_구로리총괄내역_노임단가표" xfId="1201" xr:uid="{00000000-0005-0000-0000-0000B0040000}"/>
    <cellStyle name="1_total_구로리총괄내역_노임단가표_00-설계서,원가계산,내역서" xfId="1202" xr:uid="{00000000-0005-0000-0000-0000B1040000}"/>
    <cellStyle name="1_total_구로리총괄내역_노임단가표_설계서-1" xfId="1203" xr:uid="{00000000-0005-0000-0000-0000B2040000}"/>
    <cellStyle name="1_total_구로리총괄내역_노임단가표_설계서-1_00-설계서,원가계산,내역서" xfId="1204" xr:uid="{00000000-0005-0000-0000-0000B3040000}"/>
    <cellStyle name="1_total_구로리총괄내역_노임단가표_진해자은수량산출서(단지내)" xfId="1205" xr:uid="{00000000-0005-0000-0000-0000B4040000}"/>
    <cellStyle name="1_total_구로리총괄내역_노임단가표_진해자은수량산출서(단지내)_00-설계서,원가계산,내역서" xfId="1206" xr:uid="{00000000-0005-0000-0000-0000B5040000}"/>
    <cellStyle name="1_total_구로리총괄내역_노임단가표_진해자은수량산출서(단지내)_기초산출표-56-128-최종" xfId="1207" xr:uid="{00000000-0005-0000-0000-0000B6040000}"/>
    <cellStyle name="1_total_구로리총괄내역_노임단가표_진해자은수량산출서(단지내)_기초산출표-56-128-최종_00-설계서,원가계산,내역서" xfId="1208" xr:uid="{00000000-0005-0000-0000-0000B7040000}"/>
    <cellStyle name="1_total_구로리총괄내역_노임단가표_진해자은수량산출서(단지내)_기초산출표-56-128-최종_설계서-1" xfId="1209" xr:uid="{00000000-0005-0000-0000-0000B8040000}"/>
    <cellStyle name="1_total_구로리총괄내역_노임단가표_진해자은수량산출서(단지내)_기초산출표-56-128-최종_설계서-1_00-설계서,원가계산,내역서" xfId="1210" xr:uid="{00000000-0005-0000-0000-0000B9040000}"/>
    <cellStyle name="1_total_구로리총괄내역_노임단가표_진해자은수량산출서(단지내)_설계서-1" xfId="1211" xr:uid="{00000000-0005-0000-0000-0000BA040000}"/>
    <cellStyle name="1_total_구로리총괄내역_노임단가표_진해자은수량산출서(단지내)_설계서-1_00-설계서,원가계산,내역서" xfId="1212" xr:uid="{00000000-0005-0000-0000-0000BB040000}"/>
    <cellStyle name="1_total_구로리총괄내역_노임단가표_진해자은수량산출서(단지내)_취합" xfId="1213" xr:uid="{00000000-0005-0000-0000-0000BC040000}"/>
    <cellStyle name="1_total_구로리총괄내역_노임단가표_진해자은수량산출서(단지내)_취합_00-설계서,원가계산,내역서" xfId="1214" xr:uid="{00000000-0005-0000-0000-0000BD040000}"/>
    <cellStyle name="1_total_구로리총괄내역_노임단가표_진해자은수량산출서(단지내)_취합_설계서-1" xfId="1215" xr:uid="{00000000-0005-0000-0000-0000BE040000}"/>
    <cellStyle name="1_total_구로리총괄내역_노임단가표_진해자은수량산출서(단지내)_취합_설계서-1_00-설계서,원가계산,내역서" xfId="1216" xr:uid="{00000000-0005-0000-0000-0000BF040000}"/>
    <cellStyle name="1_total_구로리총괄내역_설계서-1" xfId="1217" xr:uid="{00000000-0005-0000-0000-0000C0040000}"/>
    <cellStyle name="1_total_구로리총괄내역_설계서-1_00-설계서,원가계산,내역서" xfId="1218" xr:uid="{00000000-0005-0000-0000-0000C1040000}"/>
    <cellStyle name="1_total_구로리총괄내역_수도권매립지" xfId="1219" xr:uid="{00000000-0005-0000-0000-0000C2040000}"/>
    <cellStyle name="1_total_구로리총괄내역_수도권매립지_00-설계서,원가계산,내역서" xfId="1220" xr:uid="{00000000-0005-0000-0000-0000C3040000}"/>
    <cellStyle name="1_total_구로리총괄내역_수도권매립지_설계서-1" xfId="1221" xr:uid="{00000000-0005-0000-0000-0000C4040000}"/>
    <cellStyle name="1_total_구로리총괄내역_수도권매립지_설계서-1_00-설계서,원가계산,내역서" xfId="1222" xr:uid="{00000000-0005-0000-0000-0000C5040000}"/>
    <cellStyle name="1_total_구로리총괄내역_수도권매립지_진해자은수량산출서(단지내)" xfId="1223" xr:uid="{00000000-0005-0000-0000-0000C6040000}"/>
    <cellStyle name="1_total_구로리총괄내역_수도권매립지_진해자은수량산출서(단지내)_00-설계서,원가계산,내역서" xfId="1224" xr:uid="{00000000-0005-0000-0000-0000C7040000}"/>
    <cellStyle name="1_total_구로리총괄내역_수도권매립지_진해자은수량산출서(단지내)_기초산출표-56-128-최종" xfId="1225" xr:uid="{00000000-0005-0000-0000-0000C8040000}"/>
    <cellStyle name="1_total_구로리총괄내역_수도권매립지_진해자은수량산출서(단지내)_기초산출표-56-128-최종_00-설계서,원가계산,내역서" xfId="1226" xr:uid="{00000000-0005-0000-0000-0000C9040000}"/>
    <cellStyle name="1_total_구로리총괄내역_수도권매립지_진해자은수량산출서(단지내)_기초산출표-56-128-최종_설계서-1" xfId="1227" xr:uid="{00000000-0005-0000-0000-0000CA040000}"/>
    <cellStyle name="1_total_구로리총괄내역_수도권매립지_진해자은수량산출서(단지내)_기초산출표-56-128-최종_설계서-1_00-설계서,원가계산,내역서" xfId="1228" xr:uid="{00000000-0005-0000-0000-0000CB040000}"/>
    <cellStyle name="1_total_구로리총괄내역_수도권매립지_진해자은수량산출서(단지내)_설계서-1" xfId="1229" xr:uid="{00000000-0005-0000-0000-0000CC040000}"/>
    <cellStyle name="1_total_구로리총괄내역_수도권매립지_진해자은수량산출서(단지내)_설계서-1_00-설계서,원가계산,내역서" xfId="1230" xr:uid="{00000000-0005-0000-0000-0000CD040000}"/>
    <cellStyle name="1_total_구로리총괄내역_수도권매립지_진해자은수량산출서(단지내)_취합" xfId="1231" xr:uid="{00000000-0005-0000-0000-0000CE040000}"/>
    <cellStyle name="1_total_구로리총괄내역_수도권매립지_진해자은수량산출서(단지내)_취합_00-설계서,원가계산,내역서" xfId="1232" xr:uid="{00000000-0005-0000-0000-0000CF040000}"/>
    <cellStyle name="1_total_구로리총괄내역_수도권매립지_진해자은수량산출서(단지내)_취합_설계서-1" xfId="1233" xr:uid="{00000000-0005-0000-0000-0000D0040000}"/>
    <cellStyle name="1_total_구로리총괄내역_수도권매립지_진해자은수량산출서(단지내)_취합_설계서-1_00-설계서,원가계산,내역서" xfId="1234" xr:uid="{00000000-0005-0000-0000-0000D1040000}"/>
    <cellStyle name="1_total_구로리총괄내역_수도권매립지1004(발주용)" xfId="1235" xr:uid="{00000000-0005-0000-0000-0000D2040000}"/>
    <cellStyle name="1_total_구로리총괄내역_수도권매립지1004(발주용)_00-설계서,원가계산,내역서" xfId="1236" xr:uid="{00000000-0005-0000-0000-0000D3040000}"/>
    <cellStyle name="1_total_구로리총괄내역_수도권매립지1004(발주용)_설계서-1" xfId="1237" xr:uid="{00000000-0005-0000-0000-0000D4040000}"/>
    <cellStyle name="1_total_구로리총괄내역_수도권매립지1004(발주용)_설계서-1_00-설계서,원가계산,내역서" xfId="1238" xr:uid="{00000000-0005-0000-0000-0000D5040000}"/>
    <cellStyle name="1_total_구로리총괄내역_수도권매립지1004(발주용)_진해자은수량산출서(단지내)" xfId="1239" xr:uid="{00000000-0005-0000-0000-0000D6040000}"/>
    <cellStyle name="1_total_구로리총괄내역_수도권매립지1004(발주용)_진해자은수량산출서(단지내)_00-설계서,원가계산,내역서" xfId="1240" xr:uid="{00000000-0005-0000-0000-0000D7040000}"/>
    <cellStyle name="1_total_구로리총괄내역_수도권매립지1004(발주용)_진해자은수량산출서(단지내)_기초산출표-56-128-최종" xfId="1241" xr:uid="{00000000-0005-0000-0000-0000D8040000}"/>
    <cellStyle name="1_total_구로리총괄내역_수도권매립지1004(발주용)_진해자은수량산출서(단지내)_기초산출표-56-128-최종_00-설계서,원가계산,내역서" xfId="1242" xr:uid="{00000000-0005-0000-0000-0000D9040000}"/>
    <cellStyle name="1_total_구로리총괄내역_수도권매립지1004(발주용)_진해자은수량산출서(단지내)_기초산출표-56-128-최종_설계서-1" xfId="1243" xr:uid="{00000000-0005-0000-0000-0000DA040000}"/>
    <cellStyle name="1_total_구로리총괄내역_수도권매립지1004(발주용)_진해자은수량산출서(단지내)_기초산출표-56-128-최종_설계서-1_00-설계서,원가계산,내역서" xfId="1244" xr:uid="{00000000-0005-0000-0000-0000DB040000}"/>
    <cellStyle name="1_total_구로리총괄내역_수도권매립지1004(발주용)_진해자은수량산출서(단지내)_설계서-1" xfId="1245" xr:uid="{00000000-0005-0000-0000-0000DC040000}"/>
    <cellStyle name="1_total_구로리총괄내역_수도권매립지1004(발주용)_진해자은수량산출서(단지내)_설계서-1_00-설계서,원가계산,내역서" xfId="1246" xr:uid="{00000000-0005-0000-0000-0000DD040000}"/>
    <cellStyle name="1_total_구로리총괄내역_수도권매립지1004(발주용)_진해자은수량산출서(단지내)_취합" xfId="1247" xr:uid="{00000000-0005-0000-0000-0000DE040000}"/>
    <cellStyle name="1_total_구로리총괄내역_수도권매립지1004(발주용)_진해자은수량산출서(단지내)_취합_00-설계서,원가계산,내역서" xfId="1248" xr:uid="{00000000-0005-0000-0000-0000DF040000}"/>
    <cellStyle name="1_total_구로리총괄내역_수도권매립지1004(발주용)_진해자은수량산출서(단지내)_취합_설계서-1" xfId="1249" xr:uid="{00000000-0005-0000-0000-0000E0040000}"/>
    <cellStyle name="1_total_구로리총괄내역_수도권매립지1004(발주용)_진해자은수량산출서(단지내)_취합_설계서-1_00-설계서,원가계산,내역서" xfId="1250" xr:uid="{00000000-0005-0000-0000-0000E1040000}"/>
    <cellStyle name="1_total_구로리총괄내역_일신건영설계예산서(0211)" xfId="1251" xr:uid="{00000000-0005-0000-0000-0000E2040000}"/>
    <cellStyle name="1_total_구로리총괄내역_일신건영설계예산서(0211)_00-설계서,원가계산,내역서" xfId="1252" xr:uid="{00000000-0005-0000-0000-0000E3040000}"/>
    <cellStyle name="1_total_구로리총괄내역_일신건영설계예산서(0211)_설계서-1" xfId="1253" xr:uid="{00000000-0005-0000-0000-0000E4040000}"/>
    <cellStyle name="1_total_구로리총괄내역_일신건영설계예산서(0211)_설계서-1_00-설계서,원가계산,내역서" xfId="1254" xr:uid="{00000000-0005-0000-0000-0000E5040000}"/>
    <cellStyle name="1_total_구로리총괄내역_일신건영설계예산서(0211)_진해자은수량산출서(단지내)" xfId="1255" xr:uid="{00000000-0005-0000-0000-0000E6040000}"/>
    <cellStyle name="1_total_구로리총괄내역_일신건영설계예산서(0211)_진해자은수량산출서(단지내)_00-설계서,원가계산,내역서" xfId="1256" xr:uid="{00000000-0005-0000-0000-0000E7040000}"/>
    <cellStyle name="1_total_구로리총괄내역_일신건영설계예산서(0211)_진해자은수량산출서(단지내)_기초산출표-56-128-최종" xfId="1257" xr:uid="{00000000-0005-0000-0000-0000E8040000}"/>
    <cellStyle name="1_total_구로리총괄내역_일신건영설계예산서(0211)_진해자은수량산출서(단지내)_기초산출표-56-128-최종_00-설계서,원가계산,내역서" xfId="1258" xr:uid="{00000000-0005-0000-0000-0000E9040000}"/>
    <cellStyle name="1_total_구로리총괄내역_일신건영설계예산서(0211)_진해자은수량산출서(단지내)_기초산출표-56-128-최종_설계서-1" xfId="1259" xr:uid="{00000000-0005-0000-0000-0000EA040000}"/>
    <cellStyle name="1_total_구로리총괄내역_일신건영설계예산서(0211)_진해자은수량산출서(단지내)_기초산출표-56-128-최종_설계서-1_00-설계서,원가계산,내역서" xfId="1260" xr:uid="{00000000-0005-0000-0000-0000EB040000}"/>
    <cellStyle name="1_total_구로리총괄내역_일신건영설계예산서(0211)_진해자은수량산출서(단지내)_설계서-1" xfId="1261" xr:uid="{00000000-0005-0000-0000-0000EC040000}"/>
    <cellStyle name="1_total_구로리총괄내역_일신건영설계예산서(0211)_진해자은수량산출서(단지내)_설계서-1_00-설계서,원가계산,내역서" xfId="1262" xr:uid="{00000000-0005-0000-0000-0000ED040000}"/>
    <cellStyle name="1_total_구로리총괄내역_일신건영설계예산서(0211)_진해자은수량산출서(단지내)_취합" xfId="1263" xr:uid="{00000000-0005-0000-0000-0000EE040000}"/>
    <cellStyle name="1_total_구로리총괄내역_일신건영설계예산서(0211)_진해자은수량산출서(단지내)_취합_00-설계서,원가계산,내역서" xfId="1264" xr:uid="{00000000-0005-0000-0000-0000EF040000}"/>
    <cellStyle name="1_total_구로리총괄내역_일신건영설계예산서(0211)_진해자은수량산출서(단지내)_취합_설계서-1" xfId="1265" xr:uid="{00000000-0005-0000-0000-0000F0040000}"/>
    <cellStyle name="1_total_구로리총괄내역_일신건영설계예산서(0211)_진해자은수량산출서(단지내)_취합_설계서-1_00-설계서,원가계산,내역서" xfId="1266" xr:uid="{00000000-0005-0000-0000-0000F1040000}"/>
    <cellStyle name="1_total_구로리총괄내역_일위대가" xfId="1267" xr:uid="{00000000-0005-0000-0000-0000F2040000}"/>
    <cellStyle name="1_total_구로리총괄내역_일위대가_00-설계서,원가계산,내역서" xfId="1268" xr:uid="{00000000-0005-0000-0000-0000F3040000}"/>
    <cellStyle name="1_total_구로리총괄내역_일위대가_설계서-1" xfId="1269" xr:uid="{00000000-0005-0000-0000-0000F4040000}"/>
    <cellStyle name="1_total_구로리총괄내역_일위대가_설계서-1_00-설계서,원가계산,내역서" xfId="1270" xr:uid="{00000000-0005-0000-0000-0000F5040000}"/>
    <cellStyle name="1_total_구로리총괄내역_일위대가_진해자은수량산출서(단지내)" xfId="1271" xr:uid="{00000000-0005-0000-0000-0000F6040000}"/>
    <cellStyle name="1_total_구로리총괄내역_일위대가_진해자은수량산출서(단지내)_00-설계서,원가계산,내역서" xfId="1272" xr:uid="{00000000-0005-0000-0000-0000F7040000}"/>
    <cellStyle name="1_total_구로리총괄내역_일위대가_진해자은수량산출서(단지내)_기초산출표-56-128-최종" xfId="1273" xr:uid="{00000000-0005-0000-0000-0000F8040000}"/>
    <cellStyle name="1_total_구로리총괄내역_일위대가_진해자은수량산출서(단지내)_기초산출표-56-128-최종_00-설계서,원가계산,내역서" xfId="1274" xr:uid="{00000000-0005-0000-0000-0000F9040000}"/>
    <cellStyle name="1_total_구로리총괄내역_일위대가_진해자은수량산출서(단지내)_기초산출표-56-128-최종_설계서-1" xfId="1275" xr:uid="{00000000-0005-0000-0000-0000FA040000}"/>
    <cellStyle name="1_total_구로리총괄내역_일위대가_진해자은수량산출서(단지내)_기초산출표-56-128-최종_설계서-1_00-설계서,원가계산,내역서" xfId="1276" xr:uid="{00000000-0005-0000-0000-0000FB040000}"/>
    <cellStyle name="1_total_구로리총괄내역_일위대가_진해자은수량산출서(단지내)_설계서-1" xfId="1277" xr:uid="{00000000-0005-0000-0000-0000FC040000}"/>
    <cellStyle name="1_total_구로리총괄내역_일위대가_진해자은수량산출서(단지내)_설계서-1_00-설계서,원가계산,내역서" xfId="1278" xr:uid="{00000000-0005-0000-0000-0000FD040000}"/>
    <cellStyle name="1_total_구로리총괄내역_일위대가_진해자은수량산출서(단지내)_취합" xfId="1279" xr:uid="{00000000-0005-0000-0000-0000FE040000}"/>
    <cellStyle name="1_total_구로리총괄내역_일위대가_진해자은수량산출서(단지내)_취합_00-설계서,원가계산,내역서" xfId="1280" xr:uid="{00000000-0005-0000-0000-0000FF040000}"/>
    <cellStyle name="1_total_구로리총괄내역_일위대가_진해자은수량산출서(단지내)_취합_설계서-1" xfId="1281" xr:uid="{00000000-0005-0000-0000-000000050000}"/>
    <cellStyle name="1_total_구로리총괄내역_일위대가_진해자은수량산출서(단지내)_취합_설계서-1_00-설계서,원가계산,내역서" xfId="1282" xr:uid="{00000000-0005-0000-0000-000001050000}"/>
    <cellStyle name="1_total_구로리총괄내역_자재단가표" xfId="1283" xr:uid="{00000000-0005-0000-0000-000002050000}"/>
    <cellStyle name="1_total_구로리총괄내역_자재단가표_00-설계서,원가계산,내역서" xfId="1284" xr:uid="{00000000-0005-0000-0000-000003050000}"/>
    <cellStyle name="1_total_구로리총괄내역_자재단가표_설계서-1" xfId="1285" xr:uid="{00000000-0005-0000-0000-000004050000}"/>
    <cellStyle name="1_total_구로리총괄내역_자재단가표_설계서-1_00-설계서,원가계산,내역서" xfId="1286" xr:uid="{00000000-0005-0000-0000-000005050000}"/>
    <cellStyle name="1_total_구로리총괄내역_자재단가표_진해자은수량산출서(단지내)" xfId="1287" xr:uid="{00000000-0005-0000-0000-000006050000}"/>
    <cellStyle name="1_total_구로리총괄내역_자재단가표_진해자은수량산출서(단지내)_00-설계서,원가계산,내역서" xfId="1288" xr:uid="{00000000-0005-0000-0000-000007050000}"/>
    <cellStyle name="1_total_구로리총괄내역_자재단가표_진해자은수량산출서(단지내)_기초산출표-56-128-최종" xfId="1289" xr:uid="{00000000-0005-0000-0000-000008050000}"/>
    <cellStyle name="1_total_구로리총괄내역_자재단가표_진해자은수량산출서(단지내)_기초산출표-56-128-최종_00-설계서,원가계산,내역서" xfId="1290" xr:uid="{00000000-0005-0000-0000-000009050000}"/>
    <cellStyle name="1_total_구로리총괄내역_자재단가표_진해자은수량산출서(단지내)_기초산출표-56-128-최종_설계서-1" xfId="1291" xr:uid="{00000000-0005-0000-0000-00000A050000}"/>
    <cellStyle name="1_total_구로리총괄내역_자재단가표_진해자은수량산출서(단지내)_기초산출표-56-128-최종_설계서-1_00-설계서,원가계산,내역서" xfId="1292" xr:uid="{00000000-0005-0000-0000-00000B050000}"/>
    <cellStyle name="1_total_구로리총괄내역_자재단가표_진해자은수량산출서(단지내)_설계서-1" xfId="1293" xr:uid="{00000000-0005-0000-0000-00000C050000}"/>
    <cellStyle name="1_total_구로리총괄내역_자재단가표_진해자은수량산출서(단지내)_설계서-1_00-설계서,원가계산,내역서" xfId="1294" xr:uid="{00000000-0005-0000-0000-00000D050000}"/>
    <cellStyle name="1_total_구로리총괄내역_자재단가표_진해자은수량산출서(단지내)_취합" xfId="1295" xr:uid="{00000000-0005-0000-0000-00000E050000}"/>
    <cellStyle name="1_total_구로리총괄내역_자재단가표_진해자은수량산출서(단지내)_취합_00-설계서,원가계산,내역서" xfId="1296" xr:uid="{00000000-0005-0000-0000-00000F050000}"/>
    <cellStyle name="1_total_구로리총괄내역_자재단가표_진해자은수량산출서(단지내)_취합_설계서-1" xfId="1297" xr:uid="{00000000-0005-0000-0000-000010050000}"/>
    <cellStyle name="1_total_구로리총괄내역_자재단가표_진해자은수량산출서(단지내)_취합_설계서-1_00-설계서,원가계산,내역서" xfId="1298" xr:uid="{00000000-0005-0000-0000-000011050000}"/>
    <cellStyle name="1_total_구로리총괄내역_장안초등학교내역0814" xfId="1299" xr:uid="{00000000-0005-0000-0000-000012050000}"/>
    <cellStyle name="1_total_구로리총괄내역_장안초등학교내역0814_00-설계서,원가계산,내역서" xfId="1300" xr:uid="{00000000-0005-0000-0000-000013050000}"/>
    <cellStyle name="1_total_구로리총괄내역_장안초등학교내역0814_설계서-1" xfId="1301" xr:uid="{00000000-0005-0000-0000-000014050000}"/>
    <cellStyle name="1_total_구로리총괄내역_장안초등학교내역0814_설계서-1_00-설계서,원가계산,내역서" xfId="1302" xr:uid="{00000000-0005-0000-0000-000015050000}"/>
    <cellStyle name="1_total_구로리총괄내역_장안초등학교내역0814_진해자은수량산출서(단지내)" xfId="1303" xr:uid="{00000000-0005-0000-0000-000016050000}"/>
    <cellStyle name="1_total_구로리총괄내역_장안초등학교내역0814_진해자은수량산출서(단지내)_00-설계서,원가계산,내역서" xfId="1304" xr:uid="{00000000-0005-0000-0000-000017050000}"/>
    <cellStyle name="1_total_구로리총괄내역_장안초등학교내역0814_진해자은수량산출서(단지내)_기초산출표-56-128-최종" xfId="1305" xr:uid="{00000000-0005-0000-0000-000018050000}"/>
    <cellStyle name="1_total_구로리총괄내역_장안초등학교내역0814_진해자은수량산출서(단지내)_기초산출표-56-128-최종_00-설계서,원가계산,내역서" xfId="1306" xr:uid="{00000000-0005-0000-0000-000019050000}"/>
    <cellStyle name="1_total_구로리총괄내역_장안초등학교내역0814_진해자은수량산출서(단지내)_기초산출표-56-128-최종_설계서-1" xfId="1307" xr:uid="{00000000-0005-0000-0000-00001A050000}"/>
    <cellStyle name="1_total_구로리총괄내역_장안초등학교내역0814_진해자은수량산출서(단지내)_기초산출표-56-128-최종_설계서-1_00-설계서,원가계산,내역서" xfId="1308" xr:uid="{00000000-0005-0000-0000-00001B050000}"/>
    <cellStyle name="1_total_구로리총괄내역_장안초등학교내역0814_진해자은수량산출서(단지내)_설계서-1" xfId="1309" xr:uid="{00000000-0005-0000-0000-00001C050000}"/>
    <cellStyle name="1_total_구로리총괄내역_장안초등학교내역0814_진해자은수량산출서(단지내)_설계서-1_00-설계서,원가계산,내역서" xfId="1310" xr:uid="{00000000-0005-0000-0000-00001D050000}"/>
    <cellStyle name="1_total_구로리총괄내역_장안초등학교내역0814_진해자은수량산출서(단지내)_취합" xfId="1311" xr:uid="{00000000-0005-0000-0000-00001E050000}"/>
    <cellStyle name="1_total_구로리총괄내역_장안초등학교내역0814_진해자은수량산출서(단지내)_취합_00-설계서,원가계산,내역서" xfId="1312" xr:uid="{00000000-0005-0000-0000-00001F050000}"/>
    <cellStyle name="1_total_구로리총괄내역_장안초등학교내역0814_진해자은수량산출서(단지내)_취합_설계서-1" xfId="1313" xr:uid="{00000000-0005-0000-0000-000020050000}"/>
    <cellStyle name="1_total_구로리총괄내역_장안초등학교내역0814_진해자은수량산출서(단지내)_취합_설계서-1_00-설계서,원가계산,내역서" xfId="1314" xr:uid="{00000000-0005-0000-0000-000021050000}"/>
    <cellStyle name="1_total_구로리총괄내역_진해자은수량산출서(단지내)" xfId="1315" xr:uid="{00000000-0005-0000-0000-000022050000}"/>
    <cellStyle name="1_total_구로리총괄내역_진해자은수량산출서(단지내)_00-설계서,원가계산,내역서" xfId="1316" xr:uid="{00000000-0005-0000-0000-000023050000}"/>
    <cellStyle name="1_total_구로리총괄내역_진해자은수량산출서(단지내)_기초산출표-56-128-최종" xfId="1317" xr:uid="{00000000-0005-0000-0000-000024050000}"/>
    <cellStyle name="1_total_구로리총괄내역_진해자은수량산출서(단지내)_기초산출표-56-128-최종_00-설계서,원가계산,내역서" xfId="1318" xr:uid="{00000000-0005-0000-0000-000025050000}"/>
    <cellStyle name="1_total_구로리총괄내역_진해자은수량산출서(단지내)_기초산출표-56-128-최종_설계서-1" xfId="1319" xr:uid="{00000000-0005-0000-0000-000026050000}"/>
    <cellStyle name="1_total_구로리총괄내역_진해자은수량산출서(단지내)_기초산출표-56-128-최종_설계서-1_00-설계서,원가계산,내역서" xfId="1320" xr:uid="{00000000-0005-0000-0000-000027050000}"/>
    <cellStyle name="1_total_구로리총괄내역_진해자은수량산출서(단지내)_설계서-1" xfId="1321" xr:uid="{00000000-0005-0000-0000-000028050000}"/>
    <cellStyle name="1_total_구로리총괄내역_진해자은수량산출서(단지내)_설계서-1_00-설계서,원가계산,내역서" xfId="1322" xr:uid="{00000000-0005-0000-0000-000029050000}"/>
    <cellStyle name="1_total_구로리총괄내역_진해자은수량산출서(단지내)_취합" xfId="1323" xr:uid="{00000000-0005-0000-0000-00002A050000}"/>
    <cellStyle name="1_total_구로리총괄내역_진해자은수량산출서(단지내)_취합_00-설계서,원가계산,내역서" xfId="1324" xr:uid="{00000000-0005-0000-0000-00002B050000}"/>
    <cellStyle name="1_total_구로리총괄내역_진해자은수량산출서(단지내)_취합_설계서-1" xfId="1325" xr:uid="{00000000-0005-0000-0000-00002C050000}"/>
    <cellStyle name="1_total_구로리총괄내역_진해자은수량산출서(단지내)_취합_설계서-1_00-설계서,원가계산,내역서" xfId="1326" xr:uid="{00000000-0005-0000-0000-00002D050000}"/>
    <cellStyle name="1_total_목동내역" xfId="1327" xr:uid="{00000000-0005-0000-0000-00002E050000}"/>
    <cellStyle name="1_total_목동내역_00-설계서,원가계산,내역서" xfId="1328" xr:uid="{00000000-0005-0000-0000-00002F050000}"/>
    <cellStyle name="1_total_목동내역_폐기물집계" xfId="1329" xr:uid="{00000000-0005-0000-0000-000030050000}"/>
    <cellStyle name="1_total_목동내역_폐기물집계_00-설계서,원가계산,내역서" xfId="1330" xr:uid="{00000000-0005-0000-0000-000031050000}"/>
    <cellStyle name="1_total_설계서-1" xfId="1331" xr:uid="{00000000-0005-0000-0000-000032050000}"/>
    <cellStyle name="1_total_설계서-1_00-설계서,원가계산,내역서" xfId="1332" xr:uid="{00000000-0005-0000-0000-000033050000}"/>
    <cellStyle name="1_total_이문동구간중랑천변녹화사업(수량산출서, 071127)-최종" xfId="1333" xr:uid="{00000000-0005-0000-0000-000034050000}"/>
    <cellStyle name="1_total_이문동구간중랑천변녹화사업(수량산출서, 071127)-최종_00-설계서,원가계산,내역서" xfId="1334" xr:uid="{00000000-0005-0000-0000-000035050000}"/>
    <cellStyle name="1_total_진해자은수량산출서(단지내)" xfId="1335" xr:uid="{00000000-0005-0000-0000-000036050000}"/>
    <cellStyle name="1_total_진해자은수량산출서(단지내)_00-설계서,원가계산,내역서" xfId="1336" xr:uid="{00000000-0005-0000-0000-000037050000}"/>
    <cellStyle name="1_total_진해자은수량산출서(단지내)_기초산출표-56-128-최종" xfId="1337" xr:uid="{00000000-0005-0000-0000-000038050000}"/>
    <cellStyle name="1_total_진해자은수량산출서(단지내)_기초산출표-56-128-최종_00-설계서,원가계산,내역서" xfId="1338" xr:uid="{00000000-0005-0000-0000-000039050000}"/>
    <cellStyle name="1_total_진해자은수량산출서(단지내)_기초산출표-56-128-최종_설계서-1" xfId="1339" xr:uid="{00000000-0005-0000-0000-00003A050000}"/>
    <cellStyle name="1_total_진해자은수량산출서(단지내)_기초산출표-56-128-최종_설계서-1_00-설계서,원가계산,내역서" xfId="1340" xr:uid="{00000000-0005-0000-0000-00003B050000}"/>
    <cellStyle name="1_total_진해자은수량산출서(단지내)_설계서-1" xfId="1341" xr:uid="{00000000-0005-0000-0000-00003C050000}"/>
    <cellStyle name="1_total_진해자은수량산출서(단지내)_설계서-1_00-설계서,원가계산,내역서" xfId="1342" xr:uid="{00000000-0005-0000-0000-00003D050000}"/>
    <cellStyle name="1_total_진해자은수량산출서(단지내)_취합" xfId="1343" xr:uid="{00000000-0005-0000-0000-00003E050000}"/>
    <cellStyle name="1_total_진해자은수량산출서(단지내)_취합_00-설계서,원가계산,내역서" xfId="1344" xr:uid="{00000000-0005-0000-0000-00003F050000}"/>
    <cellStyle name="1_total_진해자은수량산출서(단지내)_취합_설계서-1" xfId="1345" xr:uid="{00000000-0005-0000-0000-000040050000}"/>
    <cellStyle name="1_total_진해자은수량산출서(단지내)_취합_설계서-1_00-설계서,원가계산,내역서" xfId="1346" xr:uid="{00000000-0005-0000-0000-000041050000}"/>
    <cellStyle name="1_total_총괄내역0518" xfId="1347" xr:uid="{00000000-0005-0000-0000-000042050000}"/>
    <cellStyle name="1_total_총괄내역0518_00-설계서,원가계산,내역서" xfId="1348" xr:uid="{00000000-0005-0000-0000-000043050000}"/>
    <cellStyle name="1_total_총괄내역0518_구로리설계예산서1029" xfId="1349" xr:uid="{00000000-0005-0000-0000-000044050000}"/>
    <cellStyle name="1_total_총괄내역0518_구로리설계예산서1029_00-설계서,원가계산,내역서" xfId="1350" xr:uid="{00000000-0005-0000-0000-000045050000}"/>
    <cellStyle name="1_total_총괄내역0518_구로리설계예산서1029_설계서-1" xfId="1351" xr:uid="{00000000-0005-0000-0000-000046050000}"/>
    <cellStyle name="1_total_총괄내역0518_구로리설계예산서1029_설계서-1_00-설계서,원가계산,내역서" xfId="1352" xr:uid="{00000000-0005-0000-0000-000047050000}"/>
    <cellStyle name="1_total_총괄내역0518_구로리설계예산서1029_진해자은수량산출서(단지내)" xfId="1353" xr:uid="{00000000-0005-0000-0000-000048050000}"/>
    <cellStyle name="1_total_총괄내역0518_구로리설계예산서1029_진해자은수량산출서(단지내)_00-설계서,원가계산,내역서" xfId="1354" xr:uid="{00000000-0005-0000-0000-000049050000}"/>
    <cellStyle name="1_total_총괄내역0518_구로리설계예산서1029_진해자은수량산출서(단지내)_기초산출표-56-128-최종" xfId="1355" xr:uid="{00000000-0005-0000-0000-00004A050000}"/>
    <cellStyle name="1_total_총괄내역0518_구로리설계예산서1029_진해자은수량산출서(단지내)_기초산출표-56-128-최종_00-설계서,원가계산,내역서" xfId="1356" xr:uid="{00000000-0005-0000-0000-00004B050000}"/>
    <cellStyle name="1_total_총괄내역0518_구로리설계예산서1029_진해자은수량산출서(단지내)_기초산출표-56-128-최종_설계서-1" xfId="1357" xr:uid="{00000000-0005-0000-0000-00004C050000}"/>
    <cellStyle name="1_total_총괄내역0518_구로리설계예산서1029_진해자은수량산출서(단지내)_기초산출표-56-128-최종_설계서-1_00-설계서,원가계산,내역서" xfId="1358" xr:uid="{00000000-0005-0000-0000-00004D050000}"/>
    <cellStyle name="1_total_총괄내역0518_구로리설계예산서1029_진해자은수량산출서(단지내)_설계서-1" xfId="1359" xr:uid="{00000000-0005-0000-0000-00004E050000}"/>
    <cellStyle name="1_total_총괄내역0518_구로리설계예산서1029_진해자은수량산출서(단지내)_설계서-1_00-설계서,원가계산,내역서" xfId="1360" xr:uid="{00000000-0005-0000-0000-00004F050000}"/>
    <cellStyle name="1_total_총괄내역0518_구로리설계예산서1029_진해자은수량산출서(단지내)_취합" xfId="1361" xr:uid="{00000000-0005-0000-0000-000050050000}"/>
    <cellStyle name="1_total_총괄내역0518_구로리설계예산서1029_진해자은수량산출서(단지내)_취합_00-설계서,원가계산,내역서" xfId="1362" xr:uid="{00000000-0005-0000-0000-000051050000}"/>
    <cellStyle name="1_total_총괄내역0518_구로리설계예산서1029_진해자은수량산출서(단지내)_취합_설계서-1" xfId="1363" xr:uid="{00000000-0005-0000-0000-000052050000}"/>
    <cellStyle name="1_total_총괄내역0518_구로리설계예산서1029_진해자은수량산출서(단지내)_취합_설계서-1_00-설계서,원가계산,내역서" xfId="1364" xr:uid="{00000000-0005-0000-0000-000053050000}"/>
    <cellStyle name="1_total_총괄내역0518_구로리설계예산서1118준공" xfId="1365" xr:uid="{00000000-0005-0000-0000-000054050000}"/>
    <cellStyle name="1_total_총괄내역0518_구로리설계예산서1118준공_00-설계서,원가계산,내역서" xfId="1366" xr:uid="{00000000-0005-0000-0000-000055050000}"/>
    <cellStyle name="1_total_총괄내역0518_구로리설계예산서1118준공_설계서-1" xfId="1367" xr:uid="{00000000-0005-0000-0000-000056050000}"/>
    <cellStyle name="1_total_총괄내역0518_구로리설계예산서1118준공_설계서-1_00-설계서,원가계산,내역서" xfId="1368" xr:uid="{00000000-0005-0000-0000-000057050000}"/>
    <cellStyle name="1_total_총괄내역0518_구로리설계예산서1118준공_진해자은수량산출서(단지내)" xfId="1369" xr:uid="{00000000-0005-0000-0000-000058050000}"/>
    <cellStyle name="1_total_총괄내역0518_구로리설계예산서1118준공_진해자은수량산출서(단지내)_00-설계서,원가계산,내역서" xfId="1370" xr:uid="{00000000-0005-0000-0000-000059050000}"/>
    <cellStyle name="1_total_총괄내역0518_구로리설계예산서1118준공_진해자은수량산출서(단지내)_기초산출표-56-128-최종" xfId="1371" xr:uid="{00000000-0005-0000-0000-00005A050000}"/>
    <cellStyle name="1_total_총괄내역0518_구로리설계예산서1118준공_진해자은수량산출서(단지내)_기초산출표-56-128-최종_00-설계서,원가계산,내역서" xfId="1372" xr:uid="{00000000-0005-0000-0000-00005B050000}"/>
    <cellStyle name="1_total_총괄내역0518_구로리설계예산서1118준공_진해자은수량산출서(단지내)_기초산출표-56-128-최종_설계서-1" xfId="1373" xr:uid="{00000000-0005-0000-0000-00005C050000}"/>
    <cellStyle name="1_total_총괄내역0518_구로리설계예산서1118준공_진해자은수량산출서(단지내)_기초산출표-56-128-최종_설계서-1_00-설계서,원가계산,내역서" xfId="1374" xr:uid="{00000000-0005-0000-0000-00005D050000}"/>
    <cellStyle name="1_total_총괄내역0518_구로리설계예산서1118준공_진해자은수량산출서(단지내)_설계서-1" xfId="1375" xr:uid="{00000000-0005-0000-0000-00005E050000}"/>
    <cellStyle name="1_total_총괄내역0518_구로리설계예산서1118준공_진해자은수량산출서(단지내)_설계서-1_00-설계서,원가계산,내역서" xfId="1376" xr:uid="{00000000-0005-0000-0000-00005F050000}"/>
    <cellStyle name="1_total_총괄내역0518_구로리설계예산서1118준공_진해자은수량산출서(단지내)_취합" xfId="1377" xr:uid="{00000000-0005-0000-0000-000060050000}"/>
    <cellStyle name="1_total_총괄내역0518_구로리설계예산서1118준공_진해자은수량산출서(단지내)_취합_00-설계서,원가계산,내역서" xfId="1378" xr:uid="{00000000-0005-0000-0000-000061050000}"/>
    <cellStyle name="1_total_총괄내역0518_구로리설계예산서1118준공_진해자은수량산출서(단지내)_취합_설계서-1" xfId="1379" xr:uid="{00000000-0005-0000-0000-000062050000}"/>
    <cellStyle name="1_total_총괄내역0518_구로리설계예산서1118준공_진해자은수량산출서(단지내)_취합_설계서-1_00-설계서,원가계산,내역서" xfId="1380" xr:uid="{00000000-0005-0000-0000-000063050000}"/>
    <cellStyle name="1_total_총괄내역0518_구로리설계예산서조경" xfId="1381" xr:uid="{00000000-0005-0000-0000-000064050000}"/>
    <cellStyle name="1_total_총괄내역0518_구로리설계예산서조경_00-설계서,원가계산,내역서" xfId="1382" xr:uid="{00000000-0005-0000-0000-000065050000}"/>
    <cellStyle name="1_total_총괄내역0518_구로리설계예산서조경_설계서-1" xfId="1383" xr:uid="{00000000-0005-0000-0000-000066050000}"/>
    <cellStyle name="1_total_총괄내역0518_구로리설계예산서조경_설계서-1_00-설계서,원가계산,내역서" xfId="1384" xr:uid="{00000000-0005-0000-0000-000067050000}"/>
    <cellStyle name="1_total_총괄내역0518_구로리설계예산서조경_진해자은수량산출서(단지내)" xfId="1385" xr:uid="{00000000-0005-0000-0000-000068050000}"/>
    <cellStyle name="1_total_총괄내역0518_구로리설계예산서조경_진해자은수량산출서(단지내)_00-설계서,원가계산,내역서" xfId="1386" xr:uid="{00000000-0005-0000-0000-000069050000}"/>
    <cellStyle name="1_total_총괄내역0518_구로리설계예산서조경_진해자은수량산출서(단지내)_기초산출표-56-128-최종" xfId="1387" xr:uid="{00000000-0005-0000-0000-00006A050000}"/>
    <cellStyle name="1_total_총괄내역0518_구로리설계예산서조경_진해자은수량산출서(단지내)_기초산출표-56-128-최종_00-설계서,원가계산,내역서" xfId="1388" xr:uid="{00000000-0005-0000-0000-00006B050000}"/>
    <cellStyle name="1_total_총괄내역0518_구로리설계예산서조경_진해자은수량산출서(단지내)_기초산출표-56-128-최종_설계서-1" xfId="1389" xr:uid="{00000000-0005-0000-0000-00006C050000}"/>
    <cellStyle name="1_total_총괄내역0518_구로리설계예산서조경_진해자은수량산출서(단지내)_기초산출표-56-128-최종_설계서-1_00-설계서,원가계산,내역서" xfId="1390" xr:uid="{00000000-0005-0000-0000-00006D050000}"/>
    <cellStyle name="1_total_총괄내역0518_구로리설계예산서조경_진해자은수량산출서(단지내)_설계서-1" xfId="1391" xr:uid="{00000000-0005-0000-0000-00006E050000}"/>
    <cellStyle name="1_total_총괄내역0518_구로리설계예산서조경_진해자은수량산출서(단지내)_설계서-1_00-설계서,원가계산,내역서" xfId="1392" xr:uid="{00000000-0005-0000-0000-00006F050000}"/>
    <cellStyle name="1_total_총괄내역0518_구로리설계예산서조경_진해자은수량산출서(단지내)_취합" xfId="1393" xr:uid="{00000000-0005-0000-0000-000070050000}"/>
    <cellStyle name="1_total_총괄내역0518_구로리설계예산서조경_진해자은수량산출서(단지내)_취합_00-설계서,원가계산,내역서" xfId="1394" xr:uid="{00000000-0005-0000-0000-000071050000}"/>
    <cellStyle name="1_total_총괄내역0518_구로리설계예산서조경_진해자은수량산출서(단지내)_취합_설계서-1" xfId="1395" xr:uid="{00000000-0005-0000-0000-000072050000}"/>
    <cellStyle name="1_total_총괄내역0518_구로리설계예산서조경_진해자은수량산출서(단지내)_취합_설계서-1_00-설계서,원가계산,내역서" xfId="1396" xr:uid="{00000000-0005-0000-0000-000073050000}"/>
    <cellStyle name="1_total_총괄내역0518_구로리어린이공원예산서(조경)1125" xfId="1397" xr:uid="{00000000-0005-0000-0000-000074050000}"/>
    <cellStyle name="1_total_총괄내역0518_구로리어린이공원예산서(조경)1125_00-설계서,원가계산,내역서" xfId="1398" xr:uid="{00000000-0005-0000-0000-000075050000}"/>
    <cellStyle name="1_total_총괄내역0518_구로리어린이공원예산서(조경)1125_설계서-1" xfId="1399" xr:uid="{00000000-0005-0000-0000-000076050000}"/>
    <cellStyle name="1_total_총괄내역0518_구로리어린이공원예산서(조경)1125_설계서-1_00-설계서,원가계산,내역서" xfId="1400" xr:uid="{00000000-0005-0000-0000-000077050000}"/>
    <cellStyle name="1_total_총괄내역0518_구로리어린이공원예산서(조경)1125_진해자은수량산출서(단지내)" xfId="1401" xr:uid="{00000000-0005-0000-0000-000078050000}"/>
    <cellStyle name="1_total_총괄내역0518_구로리어린이공원예산서(조경)1125_진해자은수량산출서(단지내)_00-설계서,원가계산,내역서" xfId="1402" xr:uid="{00000000-0005-0000-0000-000079050000}"/>
    <cellStyle name="1_total_총괄내역0518_구로리어린이공원예산서(조경)1125_진해자은수량산출서(단지내)_기초산출표-56-128-최종" xfId="1403" xr:uid="{00000000-0005-0000-0000-00007A050000}"/>
    <cellStyle name="1_total_총괄내역0518_구로리어린이공원예산서(조경)1125_진해자은수량산출서(단지내)_기초산출표-56-128-최종_00-설계서,원가계산,내역서" xfId="1404" xr:uid="{00000000-0005-0000-0000-00007B050000}"/>
    <cellStyle name="1_total_총괄내역0518_구로리어린이공원예산서(조경)1125_진해자은수량산출서(단지내)_기초산출표-56-128-최종_설계서-1" xfId="1405" xr:uid="{00000000-0005-0000-0000-00007C050000}"/>
    <cellStyle name="1_total_총괄내역0518_구로리어린이공원예산서(조경)1125_진해자은수량산출서(단지내)_기초산출표-56-128-최종_설계서-1_00-설계서,원가계산,내역서" xfId="1406" xr:uid="{00000000-0005-0000-0000-00007D050000}"/>
    <cellStyle name="1_total_총괄내역0518_구로리어린이공원예산서(조경)1125_진해자은수량산출서(단지내)_설계서-1" xfId="1407" xr:uid="{00000000-0005-0000-0000-00007E050000}"/>
    <cellStyle name="1_total_총괄내역0518_구로리어린이공원예산서(조경)1125_진해자은수량산출서(단지내)_설계서-1_00-설계서,원가계산,내역서" xfId="1408" xr:uid="{00000000-0005-0000-0000-00007F050000}"/>
    <cellStyle name="1_total_총괄내역0518_구로리어린이공원예산서(조경)1125_진해자은수량산출서(단지내)_취합" xfId="1409" xr:uid="{00000000-0005-0000-0000-000080050000}"/>
    <cellStyle name="1_total_총괄내역0518_구로리어린이공원예산서(조경)1125_진해자은수량산출서(단지내)_취합_00-설계서,원가계산,내역서" xfId="1410" xr:uid="{00000000-0005-0000-0000-000081050000}"/>
    <cellStyle name="1_total_총괄내역0518_구로리어린이공원예산서(조경)1125_진해자은수량산출서(단지내)_취합_설계서-1" xfId="1411" xr:uid="{00000000-0005-0000-0000-000082050000}"/>
    <cellStyle name="1_total_총괄내역0518_구로리어린이공원예산서(조경)1125_진해자은수량산출서(단지내)_취합_설계서-1_00-설계서,원가계산,내역서" xfId="1412" xr:uid="{00000000-0005-0000-0000-000083050000}"/>
    <cellStyle name="1_total_총괄내역0518_내역서" xfId="1413" xr:uid="{00000000-0005-0000-0000-000084050000}"/>
    <cellStyle name="1_total_총괄내역0518_내역서_00-설계서,원가계산,내역서" xfId="1414" xr:uid="{00000000-0005-0000-0000-000085050000}"/>
    <cellStyle name="1_total_총괄내역0518_내역서_설계서-1" xfId="1415" xr:uid="{00000000-0005-0000-0000-000086050000}"/>
    <cellStyle name="1_total_총괄내역0518_내역서_설계서-1_00-설계서,원가계산,내역서" xfId="1416" xr:uid="{00000000-0005-0000-0000-000087050000}"/>
    <cellStyle name="1_total_총괄내역0518_내역서_진해자은수량산출서(단지내)" xfId="1417" xr:uid="{00000000-0005-0000-0000-000088050000}"/>
    <cellStyle name="1_total_총괄내역0518_내역서_진해자은수량산출서(단지내)_00-설계서,원가계산,내역서" xfId="1418" xr:uid="{00000000-0005-0000-0000-000089050000}"/>
    <cellStyle name="1_total_총괄내역0518_내역서_진해자은수량산출서(단지내)_기초산출표-56-128-최종" xfId="1419" xr:uid="{00000000-0005-0000-0000-00008A050000}"/>
    <cellStyle name="1_total_총괄내역0518_내역서_진해자은수량산출서(단지내)_기초산출표-56-128-최종_00-설계서,원가계산,내역서" xfId="1420" xr:uid="{00000000-0005-0000-0000-00008B050000}"/>
    <cellStyle name="1_total_총괄내역0518_내역서_진해자은수량산출서(단지내)_기초산출표-56-128-최종_설계서-1" xfId="1421" xr:uid="{00000000-0005-0000-0000-00008C050000}"/>
    <cellStyle name="1_total_총괄내역0518_내역서_진해자은수량산출서(단지내)_기초산출표-56-128-최종_설계서-1_00-설계서,원가계산,내역서" xfId="1422" xr:uid="{00000000-0005-0000-0000-00008D050000}"/>
    <cellStyle name="1_total_총괄내역0518_내역서_진해자은수량산출서(단지내)_설계서-1" xfId="1423" xr:uid="{00000000-0005-0000-0000-00008E050000}"/>
    <cellStyle name="1_total_총괄내역0518_내역서_진해자은수량산출서(단지내)_설계서-1_00-설계서,원가계산,내역서" xfId="1424" xr:uid="{00000000-0005-0000-0000-00008F050000}"/>
    <cellStyle name="1_total_총괄내역0518_내역서_진해자은수량산출서(단지내)_취합" xfId="1425" xr:uid="{00000000-0005-0000-0000-000090050000}"/>
    <cellStyle name="1_total_총괄내역0518_내역서_진해자은수량산출서(단지내)_취합_00-설계서,원가계산,내역서" xfId="1426" xr:uid="{00000000-0005-0000-0000-000091050000}"/>
    <cellStyle name="1_total_총괄내역0518_내역서_진해자은수량산출서(단지내)_취합_설계서-1" xfId="1427" xr:uid="{00000000-0005-0000-0000-000092050000}"/>
    <cellStyle name="1_total_총괄내역0518_내역서_진해자은수량산출서(단지내)_취합_설계서-1_00-설계서,원가계산,내역서" xfId="1428" xr:uid="{00000000-0005-0000-0000-000093050000}"/>
    <cellStyle name="1_total_총괄내역0518_노임단가표" xfId="1429" xr:uid="{00000000-0005-0000-0000-000094050000}"/>
    <cellStyle name="1_total_총괄내역0518_노임단가표_00-설계서,원가계산,내역서" xfId="1430" xr:uid="{00000000-0005-0000-0000-000095050000}"/>
    <cellStyle name="1_total_총괄내역0518_노임단가표_설계서-1" xfId="1431" xr:uid="{00000000-0005-0000-0000-000096050000}"/>
    <cellStyle name="1_total_총괄내역0518_노임단가표_설계서-1_00-설계서,원가계산,내역서" xfId="1432" xr:uid="{00000000-0005-0000-0000-000097050000}"/>
    <cellStyle name="1_total_총괄내역0518_노임단가표_진해자은수량산출서(단지내)" xfId="1433" xr:uid="{00000000-0005-0000-0000-000098050000}"/>
    <cellStyle name="1_total_총괄내역0518_노임단가표_진해자은수량산출서(단지내)_00-설계서,원가계산,내역서" xfId="1434" xr:uid="{00000000-0005-0000-0000-000099050000}"/>
    <cellStyle name="1_total_총괄내역0518_노임단가표_진해자은수량산출서(단지내)_기초산출표-56-128-최종" xfId="1435" xr:uid="{00000000-0005-0000-0000-00009A050000}"/>
    <cellStyle name="1_total_총괄내역0518_노임단가표_진해자은수량산출서(단지내)_기초산출표-56-128-최종_00-설계서,원가계산,내역서" xfId="1436" xr:uid="{00000000-0005-0000-0000-00009B050000}"/>
    <cellStyle name="1_total_총괄내역0518_노임단가표_진해자은수량산출서(단지내)_기초산출표-56-128-최종_설계서-1" xfId="1437" xr:uid="{00000000-0005-0000-0000-00009C050000}"/>
    <cellStyle name="1_total_총괄내역0518_노임단가표_진해자은수량산출서(단지내)_기초산출표-56-128-최종_설계서-1_00-설계서,원가계산,내역서" xfId="1438" xr:uid="{00000000-0005-0000-0000-00009D050000}"/>
    <cellStyle name="1_total_총괄내역0518_노임단가표_진해자은수량산출서(단지내)_설계서-1" xfId="1439" xr:uid="{00000000-0005-0000-0000-00009E050000}"/>
    <cellStyle name="1_total_총괄내역0518_노임단가표_진해자은수량산출서(단지내)_설계서-1_00-설계서,원가계산,내역서" xfId="1440" xr:uid="{00000000-0005-0000-0000-00009F050000}"/>
    <cellStyle name="1_total_총괄내역0518_노임단가표_진해자은수량산출서(단지내)_취합" xfId="1441" xr:uid="{00000000-0005-0000-0000-0000A0050000}"/>
    <cellStyle name="1_total_총괄내역0518_노임단가표_진해자은수량산출서(단지내)_취합_00-설계서,원가계산,내역서" xfId="1442" xr:uid="{00000000-0005-0000-0000-0000A1050000}"/>
    <cellStyle name="1_total_총괄내역0518_노임단가표_진해자은수량산출서(단지내)_취합_설계서-1" xfId="1443" xr:uid="{00000000-0005-0000-0000-0000A2050000}"/>
    <cellStyle name="1_total_총괄내역0518_노임단가표_진해자은수량산출서(단지내)_취합_설계서-1_00-설계서,원가계산,내역서" xfId="1444" xr:uid="{00000000-0005-0000-0000-0000A3050000}"/>
    <cellStyle name="1_total_총괄내역0518_설계서-1" xfId="1445" xr:uid="{00000000-0005-0000-0000-0000A4050000}"/>
    <cellStyle name="1_total_총괄내역0518_설계서-1_00-설계서,원가계산,내역서" xfId="1446" xr:uid="{00000000-0005-0000-0000-0000A5050000}"/>
    <cellStyle name="1_total_총괄내역0518_수도권매립지" xfId="1447" xr:uid="{00000000-0005-0000-0000-0000A6050000}"/>
    <cellStyle name="1_total_총괄내역0518_수도권매립지_00-설계서,원가계산,내역서" xfId="1448" xr:uid="{00000000-0005-0000-0000-0000A7050000}"/>
    <cellStyle name="1_total_총괄내역0518_수도권매립지_설계서-1" xfId="1449" xr:uid="{00000000-0005-0000-0000-0000A8050000}"/>
    <cellStyle name="1_total_총괄내역0518_수도권매립지_설계서-1_00-설계서,원가계산,내역서" xfId="1450" xr:uid="{00000000-0005-0000-0000-0000A9050000}"/>
    <cellStyle name="1_total_총괄내역0518_수도권매립지_진해자은수량산출서(단지내)" xfId="1451" xr:uid="{00000000-0005-0000-0000-0000AA050000}"/>
    <cellStyle name="1_total_총괄내역0518_수도권매립지_진해자은수량산출서(단지내)_00-설계서,원가계산,내역서" xfId="1452" xr:uid="{00000000-0005-0000-0000-0000AB050000}"/>
    <cellStyle name="1_total_총괄내역0518_수도권매립지_진해자은수량산출서(단지내)_기초산출표-56-128-최종" xfId="1453" xr:uid="{00000000-0005-0000-0000-0000AC050000}"/>
    <cellStyle name="1_total_총괄내역0518_수도권매립지_진해자은수량산출서(단지내)_기초산출표-56-128-최종_00-설계서,원가계산,내역서" xfId="1454" xr:uid="{00000000-0005-0000-0000-0000AD050000}"/>
    <cellStyle name="1_total_총괄내역0518_수도권매립지_진해자은수량산출서(단지내)_기초산출표-56-128-최종_설계서-1" xfId="1455" xr:uid="{00000000-0005-0000-0000-0000AE050000}"/>
    <cellStyle name="1_total_총괄내역0518_수도권매립지_진해자은수량산출서(단지내)_기초산출표-56-128-최종_설계서-1_00-설계서,원가계산,내역서" xfId="1456" xr:uid="{00000000-0005-0000-0000-0000AF050000}"/>
    <cellStyle name="1_total_총괄내역0518_수도권매립지_진해자은수량산출서(단지내)_설계서-1" xfId="1457" xr:uid="{00000000-0005-0000-0000-0000B0050000}"/>
    <cellStyle name="1_total_총괄내역0518_수도권매립지_진해자은수량산출서(단지내)_설계서-1_00-설계서,원가계산,내역서" xfId="1458" xr:uid="{00000000-0005-0000-0000-0000B1050000}"/>
    <cellStyle name="1_total_총괄내역0518_수도권매립지_진해자은수량산출서(단지내)_취합" xfId="1459" xr:uid="{00000000-0005-0000-0000-0000B2050000}"/>
    <cellStyle name="1_total_총괄내역0518_수도권매립지_진해자은수량산출서(단지내)_취합_00-설계서,원가계산,내역서" xfId="1460" xr:uid="{00000000-0005-0000-0000-0000B3050000}"/>
    <cellStyle name="1_total_총괄내역0518_수도권매립지_진해자은수량산출서(단지내)_취합_설계서-1" xfId="1461" xr:uid="{00000000-0005-0000-0000-0000B4050000}"/>
    <cellStyle name="1_total_총괄내역0518_수도권매립지_진해자은수량산출서(단지내)_취합_설계서-1_00-설계서,원가계산,내역서" xfId="1462" xr:uid="{00000000-0005-0000-0000-0000B5050000}"/>
    <cellStyle name="1_total_총괄내역0518_수도권매립지1004(발주용)" xfId="1463" xr:uid="{00000000-0005-0000-0000-0000B6050000}"/>
    <cellStyle name="1_total_총괄내역0518_수도권매립지1004(발주용)_00-설계서,원가계산,내역서" xfId="1464" xr:uid="{00000000-0005-0000-0000-0000B7050000}"/>
    <cellStyle name="1_total_총괄내역0518_수도권매립지1004(발주용)_설계서-1" xfId="1465" xr:uid="{00000000-0005-0000-0000-0000B8050000}"/>
    <cellStyle name="1_total_총괄내역0518_수도권매립지1004(발주용)_설계서-1_00-설계서,원가계산,내역서" xfId="1466" xr:uid="{00000000-0005-0000-0000-0000B9050000}"/>
    <cellStyle name="1_total_총괄내역0518_수도권매립지1004(발주용)_진해자은수량산출서(단지내)" xfId="1467" xr:uid="{00000000-0005-0000-0000-0000BA050000}"/>
    <cellStyle name="1_total_총괄내역0518_수도권매립지1004(발주용)_진해자은수량산출서(단지내)_00-설계서,원가계산,내역서" xfId="1468" xr:uid="{00000000-0005-0000-0000-0000BB050000}"/>
    <cellStyle name="1_total_총괄내역0518_수도권매립지1004(발주용)_진해자은수량산출서(단지내)_기초산출표-56-128-최종" xfId="1469" xr:uid="{00000000-0005-0000-0000-0000BC050000}"/>
    <cellStyle name="1_total_총괄내역0518_수도권매립지1004(발주용)_진해자은수량산출서(단지내)_기초산출표-56-128-최종_00-설계서,원가계산,내역서" xfId="1470" xr:uid="{00000000-0005-0000-0000-0000BD050000}"/>
    <cellStyle name="1_total_총괄내역0518_수도권매립지1004(발주용)_진해자은수량산출서(단지내)_기초산출표-56-128-최종_설계서-1" xfId="1471" xr:uid="{00000000-0005-0000-0000-0000BE050000}"/>
    <cellStyle name="1_total_총괄내역0518_수도권매립지1004(발주용)_진해자은수량산출서(단지내)_기초산출표-56-128-최종_설계서-1_00-설계서,원가계산,내역서" xfId="1472" xr:uid="{00000000-0005-0000-0000-0000BF050000}"/>
    <cellStyle name="1_total_총괄내역0518_수도권매립지1004(발주용)_진해자은수량산출서(단지내)_설계서-1" xfId="1473" xr:uid="{00000000-0005-0000-0000-0000C0050000}"/>
    <cellStyle name="1_total_총괄내역0518_수도권매립지1004(발주용)_진해자은수량산출서(단지내)_설계서-1_00-설계서,원가계산,내역서" xfId="1474" xr:uid="{00000000-0005-0000-0000-0000C1050000}"/>
    <cellStyle name="1_total_총괄내역0518_수도권매립지1004(발주용)_진해자은수량산출서(단지내)_취합" xfId="1475" xr:uid="{00000000-0005-0000-0000-0000C2050000}"/>
    <cellStyle name="1_total_총괄내역0518_수도권매립지1004(발주용)_진해자은수량산출서(단지내)_취합_00-설계서,원가계산,내역서" xfId="1476" xr:uid="{00000000-0005-0000-0000-0000C3050000}"/>
    <cellStyle name="1_total_총괄내역0518_수도권매립지1004(발주용)_진해자은수량산출서(단지내)_취합_설계서-1" xfId="1477" xr:uid="{00000000-0005-0000-0000-0000C4050000}"/>
    <cellStyle name="1_total_총괄내역0518_수도권매립지1004(발주용)_진해자은수량산출서(단지내)_취합_설계서-1_00-설계서,원가계산,내역서" xfId="1478" xr:uid="{00000000-0005-0000-0000-0000C5050000}"/>
    <cellStyle name="1_total_총괄내역0518_일신건영설계예산서(0211)" xfId="1479" xr:uid="{00000000-0005-0000-0000-0000C6050000}"/>
    <cellStyle name="1_total_총괄내역0518_일신건영설계예산서(0211)_00-설계서,원가계산,내역서" xfId="1480" xr:uid="{00000000-0005-0000-0000-0000C7050000}"/>
    <cellStyle name="1_total_총괄내역0518_일신건영설계예산서(0211)_설계서-1" xfId="1481" xr:uid="{00000000-0005-0000-0000-0000C8050000}"/>
    <cellStyle name="1_total_총괄내역0518_일신건영설계예산서(0211)_설계서-1_00-설계서,원가계산,내역서" xfId="1482" xr:uid="{00000000-0005-0000-0000-0000C9050000}"/>
    <cellStyle name="1_total_총괄내역0518_일신건영설계예산서(0211)_진해자은수량산출서(단지내)" xfId="1483" xr:uid="{00000000-0005-0000-0000-0000CA050000}"/>
    <cellStyle name="1_total_총괄내역0518_일신건영설계예산서(0211)_진해자은수량산출서(단지내)_00-설계서,원가계산,내역서" xfId="1484" xr:uid="{00000000-0005-0000-0000-0000CB050000}"/>
    <cellStyle name="1_total_총괄내역0518_일신건영설계예산서(0211)_진해자은수량산출서(단지내)_기초산출표-56-128-최종" xfId="1485" xr:uid="{00000000-0005-0000-0000-0000CC050000}"/>
    <cellStyle name="1_total_총괄내역0518_일신건영설계예산서(0211)_진해자은수량산출서(단지내)_기초산출표-56-128-최종_00-설계서,원가계산,내역서" xfId="1486" xr:uid="{00000000-0005-0000-0000-0000CD050000}"/>
    <cellStyle name="1_total_총괄내역0518_일신건영설계예산서(0211)_진해자은수량산출서(단지내)_기초산출표-56-128-최종_설계서-1" xfId="1487" xr:uid="{00000000-0005-0000-0000-0000CE050000}"/>
    <cellStyle name="1_total_총괄내역0518_일신건영설계예산서(0211)_진해자은수량산출서(단지내)_기초산출표-56-128-최종_설계서-1_00-설계서,원가계산,내역서" xfId="1488" xr:uid="{00000000-0005-0000-0000-0000CF050000}"/>
    <cellStyle name="1_total_총괄내역0518_일신건영설계예산서(0211)_진해자은수량산출서(단지내)_설계서-1" xfId="1489" xr:uid="{00000000-0005-0000-0000-0000D0050000}"/>
    <cellStyle name="1_total_총괄내역0518_일신건영설계예산서(0211)_진해자은수량산출서(단지내)_설계서-1_00-설계서,원가계산,내역서" xfId="1490" xr:uid="{00000000-0005-0000-0000-0000D1050000}"/>
    <cellStyle name="1_total_총괄내역0518_일신건영설계예산서(0211)_진해자은수량산출서(단지내)_취합" xfId="1491" xr:uid="{00000000-0005-0000-0000-0000D2050000}"/>
    <cellStyle name="1_total_총괄내역0518_일신건영설계예산서(0211)_진해자은수량산출서(단지내)_취합_00-설계서,원가계산,내역서" xfId="1492" xr:uid="{00000000-0005-0000-0000-0000D3050000}"/>
    <cellStyle name="1_total_총괄내역0518_일신건영설계예산서(0211)_진해자은수량산출서(단지내)_취합_설계서-1" xfId="1493" xr:uid="{00000000-0005-0000-0000-0000D4050000}"/>
    <cellStyle name="1_total_총괄내역0518_일신건영설계예산서(0211)_진해자은수량산출서(단지내)_취합_설계서-1_00-설계서,원가계산,내역서" xfId="1494" xr:uid="{00000000-0005-0000-0000-0000D5050000}"/>
    <cellStyle name="1_total_총괄내역0518_일위대가" xfId="1495" xr:uid="{00000000-0005-0000-0000-0000D6050000}"/>
    <cellStyle name="1_total_총괄내역0518_일위대가_00-설계서,원가계산,내역서" xfId="1496" xr:uid="{00000000-0005-0000-0000-0000D7050000}"/>
    <cellStyle name="1_total_총괄내역0518_일위대가_설계서-1" xfId="1497" xr:uid="{00000000-0005-0000-0000-0000D8050000}"/>
    <cellStyle name="1_total_총괄내역0518_일위대가_설계서-1_00-설계서,원가계산,내역서" xfId="1498" xr:uid="{00000000-0005-0000-0000-0000D9050000}"/>
    <cellStyle name="1_total_총괄내역0518_일위대가_진해자은수량산출서(단지내)" xfId="1499" xr:uid="{00000000-0005-0000-0000-0000DA050000}"/>
    <cellStyle name="1_total_총괄내역0518_일위대가_진해자은수량산출서(단지내)_00-설계서,원가계산,내역서" xfId="1500" xr:uid="{00000000-0005-0000-0000-0000DB050000}"/>
    <cellStyle name="1_total_총괄내역0518_일위대가_진해자은수량산출서(단지내)_기초산출표-56-128-최종" xfId="1501" xr:uid="{00000000-0005-0000-0000-0000DC050000}"/>
    <cellStyle name="1_total_총괄내역0518_일위대가_진해자은수량산출서(단지내)_기초산출표-56-128-최종_00-설계서,원가계산,내역서" xfId="1502" xr:uid="{00000000-0005-0000-0000-0000DD050000}"/>
    <cellStyle name="1_total_총괄내역0518_일위대가_진해자은수량산출서(단지내)_기초산출표-56-128-최종_설계서-1" xfId="1503" xr:uid="{00000000-0005-0000-0000-0000DE050000}"/>
    <cellStyle name="1_total_총괄내역0518_일위대가_진해자은수량산출서(단지내)_기초산출표-56-128-최종_설계서-1_00-설계서,원가계산,내역서" xfId="1504" xr:uid="{00000000-0005-0000-0000-0000DF050000}"/>
    <cellStyle name="1_total_총괄내역0518_일위대가_진해자은수량산출서(단지내)_설계서-1" xfId="1505" xr:uid="{00000000-0005-0000-0000-0000E0050000}"/>
    <cellStyle name="1_total_총괄내역0518_일위대가_진해자은수량산출서(단지내)_설계서-1_00-설계서,원가계산,내역서" xfId="1506" xr:uid="{00000000-0005-0000-0000-0000E1050000}"/>
    <cellStyle name="1_total_총괄내역0518_일위대가_진해자은수량산출서(단지내)_취합" xfId="1507" xr:uid="{00000000-0005-0000-0000-0000E2050000}"/>
    <cellStyle name="1_total_총괄내역0518_일위대가_진해자은수량산출서(단지내)_취합_00-설계서,원가계산,내역서" xfId="1508" xr:uid="{00000000-0005-0000-0000-0000E3050000}"/>
    <cellStyle name="1_total_총괄내역0518_일위대가_진해자은수량산출서(단지내)_취합_설계서-1" xfId="1509" xr:uid="{00000000-0005-0000-0000-0000E4050000}"/>
    <cellStyle name="1_total_총괄내역0518_일위대가_진해자은수량산출서(단지내)_취합_설계서-1_00-설계서,원가계산,내역서" xfId="1510" xr:uid="{00000000-0005-0000-0000-0000E5050000}"/>
    <cellStyle name="1_total_총괄내역0518_자재단가표" xfId="1511" xr:uid="{00000000-0005-0000-0000-0000E6050000}"/>
    <cellStyle name="1_total_총괄내역0518_자재단가표_00-설계서,원가계산,내역서" xfId="1512" xr:uid="{00000000-0005-0000-0000-0000E7050000}"/>
    <cellStyle name="1_total_총괄내역0518_자재단가표_설계서-1" xfId="1513" xr:uid="{00000000-0005-0000-0000-0000E8050000}"/>
    <cellStyle name="1_total_총괄내역0518_자재단가표_설계서-1_00-설계서,원가계산,내역서" xfId="1514" xr:uid="{00000000-0005-0000-0000-0000E9050000}"/>
    <cellStyle name="1_total_총괄내역0518_자재단가표_진해자은수량산출서(단지내)" xfId="1515" xr:uid="{00000000-0005-0000-0000-0000EA050000}"/>
    <cellStyle name="1_total_총괄내역0518_자재단가표_진해자은수량산출서(단지내)_00-설계서,원가계산,내역서" xfId="1516" xr:uid="{00000000-0005-0000-0000-0000EB050000}"/>
    <cellStyle name="1_total_총괄내역0518_자재단가표_진해자은수량산출서(단지내)_기초산출표-56-128-최종" xfId="1517" xr:uid="{00000000-0005-0000-0000-0000EC050000}"/>
    <cellStyle name="1_total_총괄내역0518_자재단가표_진해자은수량산출서(단지내)_기초산출표-56-128-최종_00-설계서,원가계산,내역서" xfId="1518" xr:uid="{00000000-0005-0000-0000-0000ED050000}"/>
    <cellStyle name="1_total_총괄내역0518_자재단가표_진해자은수량산출서(단지내)_기초산출표-56-128-최종_설계서-1" xfId="1519" xr:uid="{00000000-0005-0000-0000-0000EE050000}"/>
    <cellStyle name="1_total_총괄내역0518_자재단가표_진해자은수량산출서(단지내)_기초산출표-56-128-최종_설계서-1_00-설계서,원가계산,내역서" xfId="1520" xr:uid="{00000000-0005-0000-0000-0000EF050000}"/>
    <cellStyle name="1_total_총괄내역0518_자재단가표_진해자은수량산출서(단지내)_설계서-1" xfId="1521" xr:uid="{00000000-0005-0000-0000-0000F0050000}"/>
    <cellStyle name="1_total_총괄내역0518_자재단가표_진해자은수량산출서(단지내)_설계서-1_00-설계서,원가계산,내역서" xfId="1522" xr:uid="{00000000-0005-0000-0000-0000F1050000}"/>
    <cellStyle name="1_total_총괄내역0518_자재단가표_진해자은수량산출서(단지내)_취합" xfId="1523" xr:uid="{00000000-0005-0000-0000-0000F2050000}"/>
    <cellStyle name="1_total_총괄내역0518_자재단가표_진해자은수량산출서(단지내)_취합_00-설계서,원가계산,내역서" xfId="1524" xr:uid="{00000000-0005-0000-0000-0000F3050000}"/>
    <cellStyle name="1_total_총괄내역0518_자재단가표_진해자은수량산출서(단지내)_취합_설계서-1" xfId="1525" xr:uid="{00000000-0005-0000-0000-0000F4050000}"/>
    <cellStyle name="1_total_총괄내역0518_자재단가표_진해자은수량산출서(단지내)_취합_설계서-1_00-설계서,원가계산,내역서" xfId="1526" xr:uid="{00000000-0005-0000-0000-0000F5050000}"/>
    <cellStyle name="1_total_총괄내역0518_장안초등학교내역0814" xfId="1527" xr:uid="{00000000-0005-0000-0000-0000F6050000}"/>
    <cellStyle name="1_total_총괄내역0518_장안초등학교내역0814_00-설계서,원가계산,내역서" xfId="1528" xr:uid="{00000000-0005-0000-0000-0000F7050000}"/>
    <cellStyle name="1_total_총괄내역0518_장안초등학교내역0814_설계서-1" xfId="1529" xr:uid="{00000000-0005-0000-0000-0000F8050000}"/>
    <cellStyle name="1_total_총괄내역0518_장안초등학교내역0814_설계서-1_00-설계서,원가계산,내역서" xfId="1530" xr:uid="{00000000-0005-0000-0000-0000F9050000}"/>
    <cellStyle name="1_total_총괄내역0518_장안초등학교내역0814_진해자은수량산출서(단지내)" xfId="1531" xr:uid="{00000000-0005-0000-0000-0000FA050000}"/>
    <cellStyle name="1_total_총괄내역0518_장안초등학교내역0814_진해자은수량산출서(단지내)_00-설계서,원가계산,내역서" xfId="1532" xr:uid="{00000000-0005-0000-0000-0000FB050000}"/>
    <cellStyle name="1_total_총괄내역0518_장안초등학교내역0814_진해자은수량산출서(단지내)_기초산출표-56-128-최종" xfId="1533" xr:uid="{00000000-0005-0000-0000-0000FC050000}"/>
    <cellStyle name="1_total_총괄내역0518_장안초등학교내역0814_진해자은수량산출서(단지내)_기초산출표-56-128-최종_00-설계서,원가계산,내역서" xfId="1534" xr:uid="{00000000-0005-0000-0000-0000FD050000}"/>
    <cellStyle name="1_total_총괄내역0518_장안초등학교내역0814_진해자은수량산출서(단지내)_기초산출표-56-128-최종_설계서-1" xfId="1535" xr:uid="{00000000-0005-0000-0000-0000FE050000}"/>
    <cellStyle name="1_total_총괄내역0518_장안초등학교내역0814_진해자은수량산출서(단지내)_기초산출표-56-128-최종_설계서-1_00-설계서,원가계산,내역서" xfId="1536" xr:uid="{00000000-0005-0000-0000-0000FF050000}"/>
    <cellStyle name="1_total_총괄내역0518_장안초등학교내역0814_진해자은수량산출서(단지내)_설계서-1" xfId="1537" xr:uid="{00000000-0005-0000-0000-000000060000}"/>
    <cellStyle name="1_total_총괄내역0518_장안초등학교내역0814_진해자은수량산출서(단지내)_설계서-1_00-설계서,원가계산,내역서" xfId="1538" xr:uid="{00000000-0005-0000-0000-000001060000}"/>
    <cellStyle name="1_total_총괄내역0518_장안초등학교내역0814_진해자은수량산출서(단지내)_취합" xfId="1539" xr:uid="{00000000-0005-0000-0000-000002060000}"/>
    <cellStyle name="1_total_총괄내역0518_장안초등학교내역0814_진해자은수량산출서(단지내)_취합_00-설계서,원가계산,내역서" xfId="1540" xr:uid="{00000000-0005-0000-0000-000003060000}"/>
    <cellStyle name="1_total_총괄내역0518_장안초등학교내역0814_진해자은수량산출서(단지내)_취합_설계서-1" xfId="1541" xr:uid="{00000000-0005-0000-0000-000004060000}"/>
    <cellStyle name="1_total_총괄내역0518_장안초등학교내역0814_진해자은수량산출서(단지내)_취합_설계서-1_00-설계서,원가계산,내역서" xfId="1542" xr:uid="{00000000-0005-0000-0000-000005060000}"/>
    <cellStyle name="1_total_총괄내역0518_진해자은수량산출서(단지내)" xfId="1543" xr:uid="{00000000-0005-0000-0000-000006060000}"/>
    <cellStyle name="1_total_총괄내역0518_진해자은수량산출서(단지내)_00-설계서,원가계산,내역서" xfId="1544" xr:uid="{00000000-0005-0000-0000-000007060000}"/>
    <cellStyle name="1_total_총괄내역0518_진해자은수량산출서(단지내)_기초산출표-56-128-최종" xfId="1545" xr:uid="{00000000-0005-0000-0000-000008060000}"/>
    <cellStyle name="1_total_총괄내역0518_진해자은수량산출서(단지내)_기초산출표-56-128-최종_00-설계서,원가계산,내역서" xfId="1546" xr:uid="{00000000-0005-0000-0000-000009060000}"/>
    <cellStyle name="1_total_총괄내역0518_진해자은수량산출서(단지내)_기초산출표-56-128-최종_설계서-1" xfId="1547" xr:uid="{00000000-0005-0000-0000-00000A060000}"/>
    <cellStyle name="1_total_총괄내역0518_진해자은수량산출서(단지내)_기초산출표-56-128-최종_설계서-1_00-설계서,원가계산,내역서" xfId="1548" xr:uid="{00000000-0005-0000-0000-00000B060000}"/>
    <cellStyle name="1_total_총괄내역0518_진해자은수량산출서(단지내)_설계서-1" xfId="1549" xr:uid="{00000000-0005-0000-0000-00000C060000}"/>
    <cellStyle name="1_total_총괄내역0518_진해자은수량산출서(단지내)_설계서-1_00-설계서,원가계산,내역서" xfId="1550" xr:uid="{00000000-0005-0000-0000-00000D060000}"/>
    <cellStyle name="1_total_총괄내역0518_진해자은수량산출서(단지내)_취합" xfId="1551" xr:uid="{00000000-0005-0000-0000-00000E060000}"/>
    <cellStyle name="1_total_총괄내역0518_진해자은수량산출서(단지내)_취합_00-설계서,원가계산,내역서" xfId="1552" xr:uid="{00000000-0005-0000-0000-00000F060000}"/>
    <cellStyle name="1_total_총괄내역0518_진해자은수량산출서(단지내)_취합_설계서-1" xfId="1553" xr:uid="{00000000-0005-0000-0000-000010060000}"/>
    <cellStyle name="1_total_총괄내역0518_진해자은수량산출서(단지내)_취합_설계서-1_00-설계서,원가계산,내역서" xfId="1554" xr:uid="{00000000-0005-0000-0000-000011060000}"/>
    <cellStyle name="1_total_현충묘지-예산서(조경)" xfId="1555" xr:uid="{00000000-0005-0000-0000-000012060000}"/>
    <cellStyle name="1_total_현충묘지-예산서(조경)_00-설계서,원가계산,내역서" xfId="1556" xr:uid="{00000000-0005-0000-0000-000013060000}"/>
    <cellStyle name="1_total_현충묘지-예산서(조경)_목동내역" xfId="1557" xr:uid="{00000000-0005-0000-0000-000014060000}"/>
    <cellStyle name="1_total_현충묘지-예산서(조경)_목동내역_00-설계서,원가계산,내역서" xfId="1558" xr:uid="{00000000-0005-0000-0000-000015060000}"/>
    <cellStyle name="1_total_현충묘지-예산서(조경)_목동내역_폐기물집계" xfId="1559" xr:uid="{00000000-0005-0000-0000-000016060000}"/>
    <cellStyle name="1_total_현충묘지-예산서(조경)_목동내역_폐기물집계_00-설계서,원가계산,내역서" xfId="1560" xr:uid="{00000000-0005-0000-0000-000017060000}"/>
    <cellStyle name="1_total_현충묘지-예산서(조경)_예산서-엑셀변환양식100" xfId="1561" xr:uid="{00000000-0005-0000-0000-000018060000}"/>
    <cellStyle name="1_total_현충묘지-예산서(조경)_예산서-엑셀변환양식100_00-설계서,원가계산,내역서" xfId="1562" xr:uid="{00000000-0005-0000-0000-000019060000}"/>
    <cellStyle name="1_total_현충묘지-예산서(조경)_예산서-엑셀변환양식100_목동내역" xfId="1563" xr:uid="{00000000-0005-0000-0000-00001A060000}"/>
    <cellStyle name="1_total_현충묘지-예산서(조경)_예산서-엑셀변환양식100_목동내역_00-설계서,원가계산,내역서" xfId="1564" xr:uid="{00000000-0005-0000-0000-00001B060000}"/>
    <cellStyle name="1_total_현충묘지-예산서(조경)_예산서-엑셀변환양식100_목동내역_폐기물집계" xfId="1565" xr:uid="{00000000-0005-0000-0000-00001C060000}"/>
    <cellStyle name="1_total_현충묘지-예산서(조경)_예산서-엑셀변환양식100_목동내역_폐기물집계_00-설계서,원가계산,내역서" xfId="1566" xr:uid="{00000000-0005-0000-0000-00001D060000}"/>
    <cellStyle name="1_tree" xfId="1567" xr:uid="{00000000-0005-0000-0000-00001E060000}"/>
    <cellStyle name="1_tree_00-설계서,원가계산,내역서" xfId="1568" xr:uid="{00000000-0005-0000-0000-00001F060000}"/>
    <cellStyle name="1_tree_00-수량산출서" xfId="1569" xr:uid="{00000000-0005-0000-0000-000020060000}"/>
    <cellStyle name="1_tree_00-수량산출서_00-설계서,원가계산,내역서" xfId="1570" xr:uid="{00000000-0005-0000-0000-000021060000}"/>
    <cellStyle name="1_tree_01-내역서(071118)" xfId="1571" xr:uid="{00000000-0005-0000-0000-000022060000}"/>
    <cellStyle name="1_tree_01-내역서(071118)_00-설계서,원가계산,내역서" xfId="1572" xr:uid="{00000000-0005-0000-0000-000023060000}"/>
    <cellStyle name="1_tree_구로리총괄내역" xfId="1573" xr:uid="{00000000-0005-0000-0000-000024060000}"/>
    <cellStyle name="1_tree_구로리총괄내역_00-설계서,원가계산,내역서" xfId="1574" xr:uid="{00000000-0005-0000-0000-000025060000}"/>
    <cellStyle name="1_tree_구로리총괄내역_구로리설계예산서1029" xfId="1575" xr:uid="{00000000-0005-0000-0000-000026060000}"/>
    <cellStyle name="1_tree_구로리총괄내역_구로리설계예산서1029_00-설계서,원가계산,내역서" xfId="1576" xr:uid="{00000000-0005-0000-0000-000027060000}"/>
    <cellStyle name="1_tree_구로리총괄내역_구로리설계예산서1029_설계서-1" xfId="1577" xr:uid="{00000000-0005-0000-0000-000028060000}"/>
    <cellStyle name="1_tree_구로리총괄내역_구로리설계예산서1029_설계서-1_00-설계서,원가계산,내역서" xfId="1578" xr:uid="{00000000-0005-0000-0000-000029060000}"/>
    <cellStyle name="1_tree_구로리총괄내역_구로리설계예산서1029_진해자은수량산출서(단지내)" xfId="1579" xr:uid="{00000000-0005-0000-0000-00002A060000}"/>
    <cellStyle name="1_tree_구로리총괄내역_구로리설계예산서1029_진해자은수량산출서(단지내)_00-설계서,원가계산,내역서" xfId="1580" xr:uid="{00000000-0005-0000-0000-00002B060000}"/>
    <cellStyle name="1_tree_구로리총괄내역_구로리설계예산서1029_진해자은수량산출서(단지내)_기초산출표-56-128-최종" xfId="1581" xr:uid="{00000000-0005-0000-0000-00002C060000}"/>
    <cellStyle name="1_tree_구로리총괄내역_구로리설계예산서1029_진해자은수량산출서(단지내)_기초산출표-56-128-최종_00-설계서,원가계산,내역서" xfId="1582" xr:uid="{00000000-0005-0000-0000-00002D060000}"/>
    <cellStyle name="1_tree_구로리총괄내역_구로리설계예산서1029_진해자은수량산출서(단지내)_기초산출표-56-128-최종_설계서-1" xfId="1583" xr:uid="{00000000-0005-0000-0000-00002E060000}"/>
    <cellStyle name="1_tree_구로리총괄내역_구로리설계예산서1029_진해자은수량산출서(단지내)_기초산출표-56-128-최종_설계서-1_00-설계서,원가계산,내역서" xfId="1584" xr:uid="{00000000-0005-0000-0000-00002F060000}"/>
    <cellStyle name="1_tree_구로리총괄내역_구로리설계예산서1029_진해자은수량산출서(단지내)_설계서-1" xfId="1585" xr:uid="{00000000-0005-0000-0000-000030060000}"/>
    <cellStyle name="1_tree_구로리총괄내역_구로리설계예산서1029_진해자은수량산출서(단지내)_설계서-1_00-설계서,원가계산,내역서" xfId="1586" xr:uid="{00000000-0005-0000-0000-000031060000}"/>
    <cellStyle name="1_tree_구로리총괄내역_구로리설계예산서1029_진해자은수량산출서(단지내)_취합" xfId="1587" xr:uid="{00000000-0005-0000-0000-000032060000}"/>
    <cellStyle name="1_tree_구로리총괄내역_구로리설계예산서1029_진해자은수량산출서(단지내)_취합_00-설계서,원가계산,내역서" xfId="1588" xr:uid="{00000000-0005-0000-0000-000033060000}"/>
    <cellStyle name="1_tree_구로리총괄내역_구로리설계예산서1029_진해자은수량산출서(단지내)_취합_설계서-1" xfId="1589" xr:uid="{00000000-0005-0000-0000-000034060000}"/>
    <cellStyle name="1_tree_구로리총괄내역_구로리설계예산서1029_진해자은수량산출서(단지내)_취합_설계서-1_00-설계서,원가계산,내역서" xfId="1590" xr:uid="{00000000-0005-0000-0000-000035060000}"/>
    <cellStyle name="1_tree_구로리총괄내역_구로리설계예산서1118준공" xfId="1591" xr:uid="{00000000-0005-0000-0000-000036060000}"/>
    <cellStyle name="1_tree_구로리총괄내역_구로리설계예산서1118준공_00-설계서,원가계산,내역서" xfId="1592" xr:uid="{00000000-0005-0000-0000-000037060000}"/>
    <cellStyle name="1_tree_구로리총괄내역_구로리설계예산서1118준공_설계서-1" xfId="1593" xr:uid="{00000000-0005-0000-0000-000038060000}"/>
    <cellStyle name="1_tree_구로리총괄내역_구로리설계예산서1118준공_설계서-1_00-설계서,원가계산,내역서" xfId="1594" xr:uid="{00000000-0005-0000-0000-000039060000}"/>
    <cellStyle name="1_tree_구로리총괄내역_구로리설계예산서1118준공_진해자은수량산출서(단지내)" xfId="1595" xr:uid="{00000000-0005-0000-0000-00003A060000}"/>
    <cellStyle name="1_tree_구로리총괄내역_구로리설계예산서1118준공_진해자은수량산출서(단지내)_00-설계서,원가계산,내역서" xfId="1596" xr:uid="{00000000-0005-0000-0000-00003B060000}"/>
    <cellStyle name="1_tree_구로리총괄내역_구로리설계예산서1118준공_진해자은수량산출서(단지내)_기초산출표-56-128-최종" xfId="1597" xr:uid="{00000000-0005-0000-0000-00003C060000}"/>
    <cellStyle name="1_tree_구로리총괄내역_구로리설계예산서1118준공_진해자은수량산출서(단지내)_기초산출표-56-128-최종_00-설계서,원가계산,내역서" xfId="1598" xr:uid="{00000000-0005-0000-0000-00003D060000}"/>
    <cellStyle name="1_tree_구로리총괄내역_구로리설계예산서1118준공_진해자은수량산출서(단지내)_기초산출표-56-128-최종_설계서-1" xfId="1599" xr:uid="{00000000-0005-0000-0000-00003E060000}"/>
    <cellStyle name="1_tree_구로리총괄내역_구로리설계예산서1118준공_진해자은수량산출서(단지내)_기초산출표-56-128-최종_설계서-1_00-설계서,원가계산,내역서" xfId="1600" xr:uid="{00000000-0005-0000-0000-00003F060000}"/>
    <cellStyle name="1_tree_구로리총괄내역_구로리설계예산서1118준공_진해자은수량산출서(단지내)_설계서-1" xfId="1601" xr:uid="{00000000-0005-0000-0000-000040060000}"/>
    <cellStyle name="1_tree_구로리총괄내역_구로리설계예산서1118준공_진해자은수량산출서(단지내)_설계서-1_00-설계서,원가계산,내역서" xfId="1602" xr:uid="{00000000-0005-0000-0000-000041060000}"/>
    <cellStyle name="1_tree_구로리총괄내역_구로리설계예산서1118준공_진해자은수량산출서(단지내)_취합" xfId="1603" xr:uid="{00000000-0005-0000-0000-000042060000}"/>
    <cellStyle name="1_tree_구로리총괄내역_구로리설계예산서1118준공_진해자은수량산출서(단지내)_취합_00-설계서,원가계산,내역서" xfId="1604" xr:uid="{00000000-0005-0000-0000-000043060000}"/>
    <cellStyle name="1_tree_구로리총괄내역_구로리설계예산서1118준공_진해자은수량산출서(단지내)_취합_설계서-1" xfId="1605" xr:uid="{00000000-0005-0000-0000-000044060000}"/>
    <cellStyle name="1_tree_구로리총괄내역_구로리설계예산서1118준공_진해자은수량산출서(단지내)_취합_설계서-1_00-설계서,원가계산,내역서" xfId="1606" xr:uid="{00000000-0005-0000-0000-000045060000}"/>
    <cellStyle name="1_tree_구로리총괄내역_구로리설계예산서조경" xfId="1607" xr:uid="{00000000-0005-0000-0000-000046060000}"/>
    <cellStyle name="1_tree_구로리총괄내역_구로리설계예산서조경_00-설계서,원가계산,내역서" xfId="1608" xr:uid="{00000000-0005-0000-0000-000047060000}"/>
    <cellStyle name="1_tree_구로리총괄내역_구로리설계예산서조경_설계서-1" xfId="1609" xr:uid="{00000000-0005-0000-0000-000048060000}"/>
    <cellStyle name="1_tree_구로리총괄내역_구로리설계예산서조경_설계서-1_00-설계서,원가계산,내역서" xfId="1610" xr:uid="{00000000-0005-0000-0000-000049060000}"/>
    <cellStyle name="1_tree_구로리총괄내역_구로리설계예산서조경_진해자은수량산출서(단지내)" xfId="1611" xr:uid="{00000000-0005-0000-0000-00004A060000}"/>
    <cellStyle name="1_tree_구로리총괄내역_구로리설계예산서조경_진해자은수량산출서(단지내)_00-설계서,원가계산,내역서" xfId="1612" xr:uid="{00000000-0005-0000-0000-00004B060000}"/>
    <cellStyle name="1_tree_구로리총괄내역_구로리설계예산서조경_진해자은수량산출서(단지내)_기초산출표-56-128-최종" xfId="1613" xr:uid="{00000000-0005-0000-0000-00004C060000}"/>
    <cellStyle name="1_tree_구로리총괄내역_구로리설계예산서조경_진해자은수량산출서(단지내)_기초산출표-56-128-최종_00-설계서,원가계산,내역서" xfId="1614" xr:uid="{00000000-0005-0000-0000-00004D060000}"/>
    <cellStyle name="1_tree_구로리총괄내역_구로리설계예산서조경_진해자은수량산출서(단지내)_기초산출표-56-128-최종_설계서-1" xfId="1615" xr:uid="{00000000-0005-0000-0000-00004E060000}"/>
    <cellStyle name="1_tree_구로리총괄내역_구로리설계예산서조경_진해자은수량산출서(단지내)_기초산출표-56-128-최종_설계서-1_00-설계서,원가계산,내역서" xfId="1616" xr:uid="{00000000-0005-0000-0000-00004F060000}"/>
    <cellStyle name="1_tree_구로리총괄내역_구로리설계예산서조경_진해자은수량산출서(단지내)_설계서-1" xfId="1617" xr:uid="{00000000-0005-0000-0000-000050060000}"/>
    <cellStyle name="1_tree_구로리총괄내역_구로리설계예산서조경_진해자은수량산출서(단지내)_설계서-1_00-설계서,원가계산,내역서" xfId="1618" xr:uid="{00000000-0005-0000-0000-000051060000}"/>
    <cellStyle name="1_tree_구로리총괄내역_구로리설계예산서조경_진해자은수량산출서(단지내)_취합" xfId="1619" xr:uid="{00000000-0005-0000-0000-000052060000}"/>
    <cellStyle name="1_tree_구로리총괄내역_구로리설계예산서조경_진해자은수량산출서(단지내)_취합_00-설계서,원가계산,내역서" xfId="1620" xr:uid="{00000000-0005-0000-0000-000053060000}"/>
    <cellStyle name="1_tree_구로리총괄내역_구로리설계예산서조경_진해자은수량산출서(단지내)_취합_설계서-1" xfId="1621" xr:uid="{00000000-0005-0000-0000-000054060000}"/>
    <cellStyle name="1_tree_구로리총괄내역_구로리설계예산서조경_진해자은수량산출서(단지내)_취합_설계서-1_00-설계서,원가계산,내역서" xfId="1622" xr:uid="{00000000-0005-0000-0000-000055060000}"/>
    <cellStyle name="1_tree_구로리총괄내역_구로리어린이공원예산서(조경)1125" xfId="1623" xr:uid="{00000000-0005-0000-0000-000056060000}"/>
    <cellStyle name="1_tree_구로리총괄내역_구로리어린이공원예산서(조경)1125_00-설계서,원가계산,내역서" xfId="1624" xr:uid="{00000000-0005-0000-0000-000057060000}"/>
    <cellStyle name="1_tree_구로리총괄내역_구로리어린이공원예산서(조경)1125_설계서-1" xfId="1625" xr:uid="{00000000-0005-0000-0000-000058060000}"/>
    <cellStyle name="1_tree_구로리총괄내역_구로리어린이공원예산서(조경)1125_설계서-1_00-설계서,원가계산,내역서" xfId="1626" xr:uid="{00000000-0005-0000-0000-000059060000}"/>
    <cellStyle name="1_tree_구로리총괄내역_구로리어린이공원예산서(조경)1125_진해자은수량산출서(단지내)" xfId="1627" xr:uid="{00000000-0005-0000-0000-00005A060000}"/>
    <cellStyle name="1_tree_구로리총괄내역_구로리어린이공원예산서(조경)1125_진해자은수량산출서(단지내)_00-설계서,원가계산,내역서" xfId="1628" xr:uid="{00000000-0005-0000-0000-00005B060000}"/>
    <cellStyle name="1_tree_구로리총괄내역_구로리어린이공원예산서(조경)1125_진해자은수량산출서(단지내)_기초산출표-56-128-최종" xfId="1629" xr:uid="{00000000-0005-0000-0000-00005C060000}"/>
    <cellStyle name="1_tree_구로리총괄내역_구로리어린이공원예산서(조경)1125_진해자은수량산출서(단지내)_기초산출표-56-128-최종_00-설계서,원가계산,내역서" xfId="1630" xr:uid="{00000000-0005-0000-0000-00005D060000}"/>
    <cellStyle name="1_tree_구로리총괄내역_구로리어린이공원예산서(조경)1125_진해자은수량산출서(단지내)_기초산출표-56-128-최종_설계서-1" xfId="1631" xr:uid="{00000000-0005-0000-0000-00005E060000}"/>
    <cellStyle name="1_tree_구로리총괄내역_구로리어린이공원예산서(조경)1125_진해자은수량산출서(단지내)_기초산출표-56-128-최종_설계서-1_00-설계서,원가계산,내역서" xfId="1632" xr:uid="{00000000-0005-0000-0000-00005F060000}"/>
    <cellStyle name="1_tree_구로리총괄내역_구로리어린이공원예산서(조경)1125_진해자은수량산출서(단지내)_설계서-1" xfId="1633" xr:uid="{00000000-0005-0000-0000-000060060000}"/>
    <cellStyle name="1_tree_구로리총괄내역_구로리어린이공원예산서(조경)1125_진해자은수량산출서(단지내)_설계서-1_00-설계서,원가계산,내역서" xfId="1634" xr:uid="{00000000-0005-0000-0000-000061060000}"/>
    <cellStyle name="1_tree_구로리총괄내역_구로리어린이공원예산서(조경)1125_진해자은수량산출서(단지내)_취합" xfId="1635" xr:uid="{00000000-0005-0000-0000-000062060000}"/>
    <cellStyle name="1_tree_구로리총괄내역_구로리어린이공원예산서(조경)1125_진해자은수량산출서(단지내)_취합_00-설계서,원가계산,내역서" xfId="1636" xr:uid="{00000000-0005-0000-0000-000063060000}"/>
    <cellStyle name="1_tree_구로리총괄내역_구로리어린이공원예산서(조경)1125_진해자은수량산출서(단지내)_취합_설계서-1" xfId="1637" xr:uid="{00000000-0005-0000-0000-000064060000}"/>
    <cellStyle name="1_tree_구로리총괄내역_구로리어린이공원예산서(조경)1125_진해자은수량산출서(단지내)_취합_설계서-1_00-설계서,원가계산,내역서" xfId="1638" xr:uid="{00000000-0005-0000-0000-000065060000}"/>
    <cellStyle name="1_tree_구로리총괄내역_내역서" xfId="1639" xr:uid="{00000000-0005-0000-0000-000066060000}"/>
    <cellStyle name="1_tree_구로리총괄내역_내역서_00-설계서,원가계산,내역서" xfId="1640" xr:uid="{00000000-0005-0000-0000-000067060000}"/>
    <cellStyle name="1_tree_구로리총괄내역_내역서_설계서-1" xfId="1641" xr:uid="{00000000-0005-0000-0000-000068060000}"/>
    <cellStyle name="1_tree_구로리총괄내역_내역서_설계서-1_00-설계서,원가계산,내역서" xfId="1642" xr:uid="{00000000-0005-0000-0000-000069060000}"/>
    <cellStyle name="1_tree_구로리총괄내역_내역서_진해자은수량산출서(단지내)" xfId="1643" xr:uid="{00000000-0005-0000-0000-00006A060000}"/>
    <cellStyle name="1_tree_구로리총괄내역_내역서_진해자은수량산출서(단지내)_00-설계서,원가계산,내역서" xfId="1644" xr:uid="{00000000-0005-0000-0000-00006B060000}"/>
    <cellStyle name="1_tree_구로리총괄내역_내역서_진해자은수량산출서(단지내)_기초산출표-56-128-최종" xfId="1645" xr:uid="{00000000-0005-0000-0000-00006C060000}"/>
    <cellStyle name="1_tree_구로리총괄내역_내역서_진해자은수량산출서(단지내)_기초산출표-56-128-최종_00-설계서,원가계산,내역서" xfId="1646" xr:uid="{00000000-0005-0000-0000-00006D060000}"/>
    <cellStyle name="1_tree_구로리총괄내역_내역서_진해자은수량산출서(단지내)_기초산출표-56-128-최종_설계서-1" xfId="1647" xr:uid="{00000000-0005-0000-0000-00006E060000}"/>
    <cellStyle name="1_tree_구로리총괄내역_내역서_진해자은수량산출서(단지내)_기초산출표-56-128-최종_설계서-1_00-설계서,원가계산,내역서" xfId="1648" xr:uid="{00000000-0005-0000-0000-00006F060000}"/>
    <cellStyle name="1_tree_구로리총괄내역_내역서_진해자은수량산출서(단지내)_설계서-1" xfId="1649" xr:uid="{00000000-0005-0000-0000-000070060000}"/>
    <cellStyle name="1_tree_구로리총괄내역_내역서_진해자은수량산출서(단지내)_설계서-1_00-설계서,원가계산,내역서" xfId="1650" xr:uid="{00000000-0005-0000-0000-000071060000}"/>
    <cellStyle name="1_tree_구로리총괄내역_내역서_진해자은수량산출서(단지내)_취합" xfId="1651" xr:uid="{00000000-0005-0000-0000-000072060000}"/>
    <cellStyle name="1_tree_구로리총괄내역_내역서_진해자은수량산출서(단지내)_취합_00-설계서,원가계산,내역서" xfId="1652" xr:uid="{00000000-0005-0000-0000-000073060000}"/>
    <cellStyle name="1_tree_구로리총괄내역_내역서_진해자은수량산출서(단지내)_취합_설계서-1" xfId="1653" xr:uid="{00000000-0005-0000-0000-000074060000}"/>
    <cellStyle name="1_tree_구로리총괄내역_내역서_진해자은수량산출서(단지내)_취합_설계서-1_00-설계서,원가계산,내역서" xfId="1654" xr:uid="{00000000-0005-0000-0000-000075060000}"/>
    <cellStyle name="1_tree_구로리총괄내역_노임단가표" xfId="1655" xr:uid="{00000000-0005-0000-0000-000076060000}"/>
    <cellStyle name="1_tree_구로리총괄내역_노임단가표_00-설계서,원가계산,내역서" xfId="1656" xr:uid="{00000000-0005-0000-0000-000077060000}"/>
    <cellStyle name="1_tree_구로리총괄내역_노임단가표_설계서-1" xfId="1657" xr:uid="{00000000-0005-0000-0000-000078060000}"/>
    <cellStyle name="1_tree_구로리총괄내역_노임단가표_설계서-1_00-설계서,원가계산,내역서" xfId="1658" xr:uid="{00000000-0005-0000-0000-000079060000}"/>
    <cellStyle name="1_tree_구로리총괄내역_노임단가표_진해자은수량산출서(단지내)" xfId="1659" xr:uid="{00000000-0005-0000-0000-00007A060000}"/>
    <cellStyle name="1_tree_구로리총괄내역_노임단가표_진해자은수량산출서(단지내)_00-설계서,원가계산,내역서" xfId="1660" xr:uid="{00000000-0005-0000-0000-00007B060000}"/>
    <cellStyle name="1_tree_구로리총괄내역_노임단가표_진해자은수량산출서(단지내)_기초산출표-56-128-최종" xfId="1661" xr:uid="{00000000-0005-0000-0000-00007C060000}"/>
    <cellStyle name="1_tree_구로리총괄내역_노임단가표_진해자은수량산출서(단지내)_기초산출표-56-128-최종_00-설계서,원가계산,내역서" xfId="1662" xr:uid="{00000000-0005-0000-0000-00007D060000}"/>
    <cellStyle name="1_tree_구로리총괄내역_노임단가표_진해자은수량산출서(단지내)_기초산출표-56-128-최종_설계서-1" xfId="1663" xr:uid="{00000000-0005-0000-0000-00007E060000}"/>
    <cellStyle name="1_tree_구로리총괄내역_노임단가표_진해자은수량산출서(단지내)_기초산출표-56-128-최종_설계서-1_00-설계서,원가계산,내역서" xfId="1664" xr:uid="{00000000-0005-0000-0000-00007F060000}"/>
    <cellStyle name="1_tree_구로리총괄내역_노임단가표_진해자은수량산출서(단지내)_설계서-1" xfId="1665" xr:uid="{00000000-0005-0000-0000-000080060000}"/>
    <cellStyle name="1_tree_구로리총괄내역_노임단가표_진해자은수량산출서(단지내)_설계서-1_00-설계서,원가계산,내역서" xfId="1666" xr:uid="{00000000-0005-0000-0000-000081060000}"/>
    <cellStyle name="1_tree_구로리총괄내역_노임단가표_진해자은수량산출서(단지내)_취합" xfId="1667" xr:uid="{00000000-0005-0000-0000-000082060000}"/>
    <cellStyle name="1_tree_구로리총괄내역_노임단가표_진해자은수량산출서(단지내)_취합_00-설계서,원가계산,내역서" xfId="1668" xr:uid="{00000000-0005-0000-0000-000083060000}"/>
    <cellStyle name="1_tree_구로리총괄내역_노임단가표_진해자은수량산출서(단지내)_취합_설계서-1" xfId="1669" xr:uid="{00000000-0005-0000-0000-000084060000}"/>
    <cellStyle name="1_tree_구로리총괄내역_노임단가표_진해자은수량산출서(단지내)_취합_설계서-1_00-설계서,원가계산,내역서" xfId="1670" xr:uid="{00000000-0005-0000-0000-000085060000}"/>
    <cellStyle name="1_tree_구로리총괄내역_설계서-1" xfId="1671" xr:uid="{00000000-0005-0000-0000-000086060000}"/>
    <cellStyle name="1_tree_구로리총괄내역_설계서-1_00-설계서,원가계산,내역서" xfId="1672" xr:uid="{00000000-0005-0000-0000-000087060000}"/>
    <cellStyle name="1_tree_구로리총괄내역_수도권매립지" xfId="1673" xr:uid="{00000000-0005-0000-0000-000088060000}"/>
    <cellStyle name="1_tree_구로리총괄내역_수도권매립지_00-설계서,원가계산,내역서" xfId="1674" xr:uid="{00000000-0005-0000-0000-000089060000}"/>
    <cellStyle name="1_tree_구로리총괄내역_수도권매립지_설계서-1" xfId="1675" xr:uid="{00000000-0005-0000-0000-00008A060000}"/>
    <cellStyle name="1_tree_구로리총괄내역_수도권매립지_설계서-1_00-설계서,원가계산,내역서" xfId="1676" xr:uid="{00000000-0005-0000-0000-00008B060000}"/>
    <cellStyle name="1_tree_구로리총괄내역_수도권매립지_진해자은수량산출서(단지내)" xfId="1677" xr:uid="{00000000-0005-0000-0000-00008C060000}"/>
    <cellStyle name="1_tree_구로리총괄내역_수도권매립지_진해자은수량산출서(단지내)_00-설계서,원가계산,내역서" xfId="1678" xr:uid="{00000000-0005-0000-0000-00008D060000}"/>
    <cellStyle name="1_tree_구로리총괄내역_수도권매립지_진해자은수량산출서(단지내)_기초산출표-56-128-최종" xfId="1679" xr:uid="{00000000-0005-0000-0000-00008E060000}"/>
    <cellStyle name="1_tree_구로리총괄내역_수도권매립지_진해자은수량산출서(단지내)_기초산출표-56-128-최종_00-설계서,원가계산,내역서" xfId="1680" xr:uid="{00000000-0005-0000-0000-00008F060000}"/>
    <cellStyle name="1_tree_구로리총괄내역_수도권매립지_진해자은수량산출서(단지내)_기초산출표-56-128-최종_설계서-1" xfId="1681" xr:uid="{00000000-0005-0000-0000-000090060000}"/>
    <cellStyle name="1_tree_구로리총괄내역_수도권매립지_진해자은수량산출서(단지내)_기초산출표-56-128-최종_설계서-1_00-설계서,원가계산,내역서" xfId="1682" xr:uid="{00000000-0005-0000-0000-000091060000}"/>
    <cellStyle name="1_tree_구로리총괄내역_수도권매립지_진해자은수량산출서(단지내)_설계서-1" xfId="1683" xr:uid="{00000000-0005-0000-0000-000092060000}"/>
    <cellStyle name="1_tree_구로리총괄내역_수도권매립지_진해자은수량산출서(단지내)_설계서-1_00-설계서,원가계산,내역서" xfId="1684" xr:uid="{00000000-0005-0000-0000-000093060000}"/>
    <cellStyle name="1_tree_구로리총괄내역_수도권매립지_진해자은수량산출서(단지내)_취합" xfId="1685" xr:uid="{00000000-0005-0000-0000-000094060000}"/>
    <cellStyle name="1_tree_구로리총괄내역_수도권매립지_진해자은수량산출서(단지내)_취합_00-설계서,원가계산,내역서" xfId="1686" xr:uid="{00000000-0005-0000-0000-000095060000}"/>
    <cellStyle name="1_tree_구로리총괄내역_수도권매립지_진해자은수량산출서(단지내)_취합_설계서-1" xfId="1687" xr:uid="{00000000-0005-0000-0000-000096060000}"/>
    <cellStyle name="1_tree_구로리총괄내역_수도권매립지_진해자은수량산출서(단지내)_취합_설계서-1_00-설계서,원가계산,내역서" xfId="1688" xr:uid="{00000000-0005-0000-0000-000097060000}"/>
    <cellStyle name="1_tree_구로리총괄내역_수도권매립지1004(발주용)" xfId="1689" xr:uid="{00000000-0005-0000-0000-000098060000}"/>
    <cellStyle name="1_tree_구로리총괄내역_수도권매립지1004(발주용)_00-설계서,원가계산,내역서" xfId="1690" xr:uid="{00000000-0005-0000-0000-000099060000}"/>
    <cellStyle name="1_tree_구로리총괄내역_수도권매립지1004(발주용)_설계서-1" xfId="1691" xr:uid="{00000000-0005-0000-0000-00009A060000}"/>
    <cellStyle name="1_tree_구로리총괄내역_수도권매립지1004(발주용)_설계서-1_00-설계서,원가계산,내역서" xfId="1692" xr:uid="{00000000-0005-0000-0000-00009B060000}"/>
    <cellStyle name="1_tree_구로리총괄내역_수도권매립지1004(발주용)_진해자은수량산출서(단지내)" xfId="1693" xr:uid="{00000000-0005-0000-0000-00009C060000}"/>
    <cellStyle name="1_tree_구로리총괄내역_수도권매립지1004(발주용)_진해자은수량산출서(단지내)_00-설계서,원가계산,내역서" xfId="1694" xr:uid="{00000000-0005-0000-0000-00009D060000}"/>
    <cellStyle name="1_tree_구로리총괄내역_수도권매립지1004(발주용)_진해자은수량산출서(단지내)_기초산출표-56-128-최종" xfId="1695" xr:uid="{00000000-0005-0000-0000-00009E060000}"/>
    <cellStyle name="1_tree_구로리총괄내역_수도권매립지1004(발주용)_진해자은수량산출서(단지내)_기초산출표-56-128-최종_00-설계서,원가계산,내역서" xfId="1696" xr:uid="{00000000-0005-0000-0000-00009F060000}"/>
    <cellStyle name="1_tree_구로리총괄내역_수도권매립지1004(발주용)_진해자은수량산출서(단지내)_기초산출표-56-128-최종_설계서-1" xfId="1697" xr:uid="{00000000-0005-0000-0000-0000A0060000}"/>
    <cellStyle name="1_tree_구로리총괄내역_수도권매립지1004(발주용)_진해자은수량산출서(단지내)_기초산출표-56-128-최종_설계서-1_00-설계서,원가계산,내역서" xfId="1698" xr:uid="{00000000-0005-0000-0000-0000A1060000}"/>
    <cellStyle name="1_tree_구로리총괄내역_수도권매립지1004(발주용)_진해자은수량산출서(단지내)_설계서-1" xfId="1699" xr:uid="{00000000-0005-0000-0000-0000A2060000}"/>
    <cellStyle name="1_tree_구로리총괄내역_수도권매립지1004(발주용)_진해자은수량산출서(단지내)_설계서-1_00-설계서,원가계산,내역서" xfId="1700" xr:uid="{00000000-0005-0000-0000-0000A3060000}"/>
    <cellStyle name="1_tree_구로리총괄내역_수도권매립지1004(발주용)_진해자은수량산출서(단지내)_취합" xfId="1701" xr:uid="{00000000-0005-0000-0000-0000A4060000}"/>
    <cellStyle name="1_tree_구로리총괄내역_수도권매립지1004(발주용)_진해자은수량산출서(단지내)_취합_00-설계서,원가계산,내역서" xfId="1702" xr:uid="{00000000-0005-0000-0000-0000A5060000}"/>
    <cellStyle name="1_tree_구로리총괄내역_수도권매립지1004(발주용)_진해자은수량산출서(단지내)_취합_설계서-1" xfId="1703" xr:uid="{00000000-0005-0000-0000-0000A6060000}"/>
    <cellStyle name="1_tree_구로리총괄내역_수도권매립지1004(발주용)_진해자은수량산출서(단지내)_취합_설계서-1_00-설계서,원가계산,내역서" xfId="1704" xr:uid="{00000000-0005-0000-0000-0000A7060000}"/>
    <cellStyle name="1_tree_구로리총괄내역_일신건영설계예산서(0211)" xfId="1705" xr:uid="{00000000-0005-0000-0000-0000A8060000}"/>
    <cellStyle name="1_tree_구로리총괄내역_일신건영설계예산서(0211)_00-설계서,원가계산,내역서" xfId="1706" xr:uid="{00000000-0005-0000-0000-0000A9060000}"/>
    <cellStyle name="1_tree_구로리총괄내역_일신건영설계예산서(0211)_설계서-1" xfId="1707" xr:uid="{00000000-0005-0000-0000-0000AA060000}"/>
    <cellStyle name="1_tree_구로리총괄내역_일신건영설계예산서(0211)_설계서-1_00-설계서,원가계산,내역서" xfId="1708" xr:uid="{00000000-0005-0000-0000-0000AB060000}"/>
    <cellStyle name="1_tree_구로리총괄내역_일신건영설계예산서(0211)_진해자은수량산출서(단지내)" xfId="1709" xr:uid="{00000000-0005-0000-0000-0000AC060000}"/>
    <cellStyle name="1_tree_구로리총괄내역_일신건영설계예산서(0211)_진해자은수량산출서(단지내)_00-설계서,원가계산,내역서" xfId="1710" xr:uid="{00000000-0005-0000-0000-0000AD060000}"/>
    <cellStyle name="1_tree_구로리총괄내역_일신건영설계예산서(0211)_진해자은수량산출서(단지내)_기초산출표-56-128-최종" xfId="1711" xr:uid="{00000000-0005-0000-0000-0000AE060000}"/>
    <cellStyle name="1_tree_구로리총괄내역_일신건영설계예산서(0211)_진해자은수량산출서(단지내)_기초산출표-56-128-최종_00-설계서,원가계산,내역서" xfId="1712" xr:uid="{00000000-0005-0000-0000-0000AF060000}"/>
    <cellStyle name="1_tree_구로리총괄내역_일신건영설계예산서(0211)_진해자은수량산출서(단지내)_기초산출표-56-128-최종_설계서-1" xfId="1713" xr:uid="{00000000-0005-0000-0000-0000B0060000}"/>
    <cellStyle name="1_tree_구로리총괄내역_일신건영설계예산서(0211)_진해자은수량산출서(단지내)_기초산출표-56-128-최종_설계서-1_00-설계서,원가계산,내역서" xfId="1714" xr:uid="{00000000-0005-0000-0000-0000B1060000}"/>
    <cellStyle name="1_tree_구로리총괄내역_일신건영설계예산서(0211)_진해자은수량산출서(단지내)_설계서-1" xfId="1715" xr:uid="{00000000-0005-0000-0000-0000B2060000}"/>
    <cellStyle name="1_tree_구로리총괄내역_일신건영설계예산서(0211)_진해자은수량산출서(단지내)_설계서-1_00-설계서,원가계산,내역서" xfId="1716" xr:uid="{00000000-0005-0000-0000-0000B3060000}"/>
    <cellStyle name="1_tree_구로리총괄내역_일신건영설계예산서(0211)_진해자은수량산출서(단지내)_취합" xfId="1717" xr:uid="{00000000-0005-0000-0000-0000B4060000}"/>
    <cellStyle name="1_tree_구로리총괄내역_일신건영설계예산서(0211)_진해자은수량산출서(단지내)_취합_00-설계서,원가계산,내역서" xfId="1718" xr:uid="{00000000-0005-0000-0000-0000B5060000}"/>
    <cellStyle name="1_tree_구로리총괄내역_일신건영설계예산서(0211)_진해자은수량산출서(단지내)_취합_설계서-1" xfId="1719" xr:uid="{00000000-0005-0000-0000-0000B6060000}"/>
    <cellStyle name="1_tree_구로리총괄내역_일신건영설계예산서(0211)_진해자은수량산출서(단지내)_취합_설계서-1_00-설계서,원가계산,내역서" xfId="1720" xr:uid="{00000000-0005-0000-0000-0000B7060000}"/>
    <cellStyle name="1_tree_구로리총괄내역_일위대가" xfId="1721" xr:uid="{00000000-0005-0000-0000-0000B8060000}"/>
    <cellStyle name="1_tree_구로리총괄내역_일위대가_00-설계서,원가계산,내역서" xfId="1722" xr:uid="{00000000-0005-0000-0000-0000B9060000}"/>
    <cellStyle name="1_tree_구로리총괄내역_일위대가_설계서-1" xfId="1723" xr:uid="{00000000-0005-0000-0000-0000BA060000}"/>
    <cellStyle name="1_tree_구로리총괄내역_일위대가_설계서-1_00-설계서,원가계산,내역서" xfId="1724" xr:uid="{00000000-0005-0000-0000-0000BB060000}"/>
    <cellStyle name="1_tree_구로리총괄내역_일위대가_진해자은수량산출서(단지내)" xfId="1725" xr:uid="{00000000-0005-0000-0000-0000BC060000}"/>
    <cellStyle name="1_tree_구로리총괄내역_일위대가_진해자은수량산출서(단지내)_00-설계서,원가계산,내역서" xfId="1726" xr:uid="{00000000-0005-0000-0000-0000BD060000}"/>
    <cellStyle name="1_tree_구로리총괄내역_일위대가_진해자은수량산출서(단지내)_기초산출표-56-128-최종" xfId="1727" xr:uid="{00000000-0005-0000-0000-0000BE060000}"/>
    <cellStyle name="1_tree_구로리총괄내역_일위대가_진해자은수량산출서(단지내)_기초산출표-56-128-최종_00-설계서,원가계산,내역서" xfId="1728" xr:uid="{00000000-0005-0000-0000-0000BF060000}"/>
    <cellStyle name="1_tree_구로리총괄내역_일위대가_진해자은수량산출서(단지내)_기초산출표-56-128-최종_설계서-1" xfId="1729" xr:uid="{00000000-0005-0000-0000-0000C0060000}"/>
    <cellStyle name="1_tree_구로리총괄내역_일위대가_진해자은수량산출서(단지내)_기초산출표-56-128-최종_설계서-1_00-설계서,원가계산,내역서" xfId="1730" xr:uid="{00000000-0005-0000-0000-0000C1060000}"/>
    <cellStyle name="1_tree_구로리총괄내역_일위대가_진해자은수량산출서(단지내)_설계서-1" xfId="1731" xr:uid="{00000000-0005-0000-0000-0000C2060000}"/>
    <cellStyle name="1_tree_구로리총괄내역_일위대가_진해자은수량산출서(단지내)_설계서-1_00-설계서,원가계산,내역서" xfId="1732" xr:uid="{00000000-0005-0000-0000-0000C3060000}"/>
    <cellStyle name="1_tree_구로리총괄내역_일위대가_진해자은수량산출서(단지내)_취합" xfId="1733" xr:uid="{00000000-0005-0000-0000-0000C4060000}"/>
    <cellStyle name="1_tree_구로리총괄내역_일위대가_진해자은수량산출서(단지내)_취합_00-설계서,원가계산,내역서" xfId="1734" xr:uid="{00000000-0005-0000-0000-0000C5060000}"/>
    <cellStyle name="1_tree_구로리총괄내역_일위대가_진해자은수량산출서(단지내)_취합_설계서-1" xfId="1735" xr:uid="{00000000-0005-0000-0000-0000C6060000}"/>
    <cellStyle name="1_tree_구로리총괄내역_일위대가_진해자은수량산출서(단지내)_취합_설계서-1_00-설계서,원가계산,내역서" xfId="1736" xr:uid="{00000000-0005-0000-0000-0000C7060000}"/>
    <cellStyle name="1_tree_구로리총괄내역_자재단가표" xfId="1737" xr:uid="{00000000-0005-0000-0000-0000C8060000}"/>
    <cellStyle name="1_tree_구로리총괄내역_자재단가표_00-설계서,원가계산,내역서" xfId="1738" xr:uid="{00000000-0005-0000-0000-0000C9060000}"/>
    <cellStyle name="1_tree_구로리총괄내역_자재단가표_설계서-1" xfId="1739" xr:uid="{00000000-0005-0000-0000-0000CA060000}"/>
    <cellStyle name="1_tree_구로리총괄내역_자재단가표_설계서-1_00-설계서,원가계산,내역서" xfId="1740" xr:uid="{00000000-0005-0000-0000-0000CB060000}"/>
    <cellStyle name="1_tree_구로리총괄내역_자재단가표_진해자은수량산출서(단지내)" xfId="1741" xr:uid="{00000000-0005-0000-0000-0000CC060000}"/>
    <cellStyle name="1_tree_구로리총괄내역_자재단가표_진해자은수량산출서(단지내)_00-설계서,원가계산,내역서" xfId="1742" xr:uid="{00000000-0005-0000-0000-0000CD060000}"/>
    <cellStyle name="1_tree_구로리총괄내역_자재단가표_진해자은수량산출서(단지내)_기초산출표-56-128-최종" xfId="1743" xr:uid="{00000000-0005-0000-0000-0000CE060000}"/>
    <cellStyle name="1_tree_구로리총괄내역_자재단가표_진해자은수량산출서(단지내)_기초산출표-56-128-최종_00-설계서,원가계산,내역서" xfId="1744" xr:uid="{00000000-0005-0000-0000-0000CF060000}"/>
    <cellStyle name="1_tree_구로리총괄내역_자재단가표_진해자은수량산출서(단지내)_기초산출표-56-128-최종_설계서-1" xfId="1745" xr:uid="{00000000-0005-0000-0000-0000D0060000}"/>
    <cellStyle name="1_tree_구로리총괄내역_자재단가표_진해자은수량산출서(단지내)_기초산출표-56-128-최종_설계서-1_00-설계서,원가계산,내역서" xfId="1746" xr:uid="{00000000-0005-0000-0000-0000D1060000}"/>
    <cellStyle name="1_tree_구로리총괄내역_자재단가표_진해자은수량산출서(단지내)_설계서-1" xfId="1747" xr:uid="{00000000-0005-0000-0000-0000D2060000}"/>
    <cellStyle name="1_tree_구로리총괄내역_자재단가표_진해자은수량산출서(단지내)_설계서-1_00-설계서,원가계산,내역서" xfId="1748" xr:uid="{00000000-0005-0000-0000-0000D3060000}"/>
    <cellStyle name="1_tree_구로리총괄내역_자재단가표_진해자은수량산출서(단지내)_취합" xfId="1749" xr:uid="{00000000-0005-0000-0000-0000D4060000}"/>
    <cellStyle name="1_tree_구로리총괄내역_자재단가표_진해자은수량산출서(단지내)_취합_00-설계서,원가계산,내역서" xfId="1750" xr:uid="{00000000-0005-0000-0000-0000D5060000}"/>
    <cellStyle name="1_tree_구로리총괄내역_자재단가표_진해자은수량산출서(단지내)_취합_설계서-1" xfId="1751" xr:uid="{00000000-0005-0000-0000-0000D6060000}"/>
    <cellStyle name="1_tree_구로리총괄내역_자재단가표_진해자은수량산출서(단지내)_취합_설계서-1_00-설계서,원가계산,내역서" xfId="1752" xr:uid="{00000000-0005-0000-0000-0000D7060000}"/>
    <cellStyle name="1_tree_구로리총괄내역_장안초등학교내역0814" xfId="1753" xr:uid="{00000000-0005-0000-0000-0000D8060000}"/>
    <cellStyle name="1_tree_구로리총괄내역_장안초등학교내역0814_00-설계서,원가계산,내역서" xfId="1754" xr:uid="{00000000-0005-0000-0000-0000D9060000}"/>
    <cellStyle name="1_tree_구로리총괄내역_장안초등학교내역0814_설계서-1" xfId="1755" xr:uid="{00000000-0005-0000-0000-0000DA060000}"/>
    <cellStyle name="1_tree_구로리총괄내역_장안초등학교내역0814_설계서-1_00-설계서,원가계산,내역서" xfId="1756" xr:uid="{00000000-0005-0000-0000-0000DB060000}"/>
    <cellStyle name="1_tree_구로리총괄내역_장안초등학교내역0814_진해자은수량산출서(단지내)" xfId="1757" xr:uid="{00000000-0005-0000-0000-0000DC060000}"/>
    <cellStyle name="1_tree_구로리총괄내역_장안초등학교내역0814_진해자은수량산출서(단지내)_00-설계서,원가계산,내역서" xfId="1758" xr:uid="{00000000-0005-0000-0000-0000DD060000}"/>
    <cellStyle name="1_tree_구로리총괄내역_장안초등학교내역0814_진해자은수량산출서(단지내)_기초산출표-56-128-최종" xfId="1759" xr:uid="{00000000-0005-0000-0000-0000DE060000}"/>
    <cellStyle name="1_tree_구로리총괄내역_장안초등학교내역0814_진해자은수량산출서(단지내)_기초산출표-56-128-최종_00-설계서,원가계산,내역서" xfId="1760" xr:uid="{00000000-0005-0000-0000-0000DF060000}"/>
    <cellStyle name="1_tree_구로리총괄내역_장안초등학교내역0814_진해자은수량산출서(단지내)_기초산출표-56-128-최종_설계서-1" xfId="1761" xr:uid="{00000000-0005-0000-0000-0000E0060000}"/>
    <cellStyle name="1_tree_구로리총괄내역_장안초등학교내역0814_진해자은수량산출서(단지내)_기초산출표-56-128-최종_설계서-1_00-설계서,원가계산,내역서" xfId="1762" xr:uid="{00000000-0005-0000-0000-0000E1060000}"/>
    <cellStyle name="1_tree_구로리총괄내역_장안초등학교내역0814_진해자은수량산출서(단지내)_설계서-1" xfId="1763" xr:uid="{00000000-0005-0000-0000-0000E2060000}"/>
    <cellStyle name="1_tree_구로리총괄내역_장안초등학교내역0814_진해자은수량산출서(단지내)_설계서-1_00-설계서,원가계산,내역서" xfId="1764" xr:uid="{00000000-0005-0000-0000-0000E3060000}"/>
    <cellStyle name="1_tree_구로리총괄내역_장안초등학교내역0814_진해자은수량산출서(단지내)_취합" xfId="1765" xr:uid="{00000000-0005-0000-0000-0000E4060000}"/>
    <cellStyle name="1_tree_구로리총괄내역_장안초등학교내역0814_진해자은수량산출서(단지내)_취합_00-설계서,원가계산,내역서" xfId="1766" xr:uid="{00000000-0005-0000-0000-0000E5060000}"/>
    <cellStyle name="1_tree_구로리총괄내역_장안초등학교내역0814_진해자은수량산출서(단지내)_취합_설계서-1" xfId="1767" xr:uid="{00000000-0005-0000-0000-0000E6060000}"/>
    <cellStyle name="1_tree_구로리총괄내역_장안초등학교내역0814_진해자은수량산출서(단지내)_취합_설계서-1_00-설계서,원가계산,내역서" xfId="1768" xr:uid="{00000000-0005-0000-0000-0000E7060000}"/>
    <cellStyle name="1_tree_구로리총괄내역_진해자은수량산출서(단지내)" xfId="1769" xr:uid="{00000000-0005-0000-0000-0000E8060000}"/>
    <cellStyle name="1_tree_구로리총괄내역_진해자은수량산출서(단지내)_00-설계서,원가계산,내역서" xfId="1770" xr:uid="{00000000-0005-0000-0000-0000E9060000}"/>
    <cellStyle name="1_tree_구로리총괄내역_진해자은수량산출서(단지내)_기초산출표-56-128-최종" xfId="1771" xr:uid="{00000000-0005-0000-0000-0000EA060000}"/>
    <cellStyle name="1_tree_구로리총괄내역_진해자은수량산출서(단지내)_기초산출표-56-128-최종_00-설계서,원가계산,내역서" xfId="1772" xr:uid="{00000000-0005-0000-0000-0000EB060000}"/>
    <cellStyle name="1_tree_구로리총괄내역_진해자은수량산출서(단지내)_기초산출표-56-128-최종_설계서-1" xfId="1773" xr:uid="{00000000-0005-0000-0000-0000EC060000}"/>
    <cellStyle name="1_tree_구로리총괄내역_진해자은수량산출서(단지내)_기초산출표-56-128-최종_설계서-1_00-설계서,원가계산,내역서" xfId="1774" xr:uid="{00000000-0005-0000-0000-0000ED060000}"/>
    <cellStyle name="1_tree_구로리총괄내역_진해자은수량산출서(단지내)_설계서-1" xfId="1775" xr:uid="{00000000-0005-0000-0000-0000EE060000}"/>
    <cellStyle name="1_tree_구로리총괄내역_진해자은수량산출서(단지내)_설계서-1_00-설계서,원가계산,내역서" xfId="1776" xr:uid="{00000000-0005-0000-0000-0000EF060000}"/>
    <cellStyle name="1_tree_구로리총괄내역_진해자은수량산출서(단지내)_취합" xfId="1777" xr:uid="{00000000-0005-0000-0000-0000F0060000}"/>
    <cellStyle name="1_tree_구로리총괄내역_진해자은수량산출서(단지내)_취합_00-설계서,원가계산,내역서" xfId="1778" xr:uid="{00000000-0005-0000-0000-0000F1060000}"/>
    <cellStyle name="1_tree_구로리총괄내역_진해자은수량산출서(단지내)_취합_설계서-1" xfId="1779" xr:uid="{00000000-0005-0000-0000-0000F2060000}"/>
    <cellStyle name="1_tree_구로리총괄내역_진해자은수량산출서(단지내)_취합_설계서-1_00-설계서,원가계산,내역서" xfId="1780" xr:uid="{00000000-0005-0000-0000-0000F3060000}"/>
    <cellStyle name="1_tree_목동내역" xfId="1781" xr:uid="{00000000-0005-0000-0000-0000F4060000}"/>
    <cellStyle name="1_tree_목동내역_00-설계서,원가계산,내역서" xfId="1782" xr:uid="{00000000-0005-0000-0000-0000F5060000}"/>
    <cellStyle name="1_tree_목동내역_폐기물집계" xfId="1783" xr:uid="{00000000-0005-0000-0000-0000F6060000}"/>
    <cellStyle name="1_tree_목동내역_폐기물집계_00-설계서,원가계산,내역서" xfId="1784" xr:uid="{00000000-0005-0000-0000-0000F7060000}"/>
    <cellStyle name="1_tree_설계서-1" xfId="1785" xr:uid="{00000000-0005-0000-0000-0000F8060000}"/>
    <cellStyle name="1_tree_설계서-1_00-설계서,원가계산,내역서" xfId="1786" xr:uid="{00000000-0005-0000-0000-0000F9060000}"/>
    <cellStyle name="1_tree_수량산출" xfId="1787" xr:uid="{00000000-0005-0000-0000-0000FA060000}"/>
    <cellStyle name="1_tree_수량산출_00-설계서,원가계산,내역서" xfId="1788" xr:uid="{00000000-0005-0000-0000-0000FB060000}"/>
    <cellStyle name="1_tree_수량산출_00-수량산출서" xfId="1789" xr:uid="{00000000-0005-0000-0000-0000FC060000}"/>
    <cellStyle name="1_tree_수량산출_00-수량산출서_00-설계서,원가계산,내역서" xfId="1790" xr:uid="{00000000-0005-0000-0000-0000FD060000}"/>
    <cellStyle name="1_tree_수량산출_01-내역서(071118)" xfId="1791" xr:uid="{00000000-0005-0000-0000-0000FE060000}"/>
    <cellStyle name="1_tree_수량산출_01-내역서(071118)_00-설계서,원가계산,내역서" xfId="1792" xr:uid="{00000000-0005-0000-0000-0000FF060000}"/>
    <cellStyle name="1_tree_수량산출_구로리총괄내역" xfId="1793" xr:uid="{00000000-0005-0000-0000-000000070000}"/>
    <cellStyle name="1_tree_수량산출_구로리총괄내역_00-설계서,원가계산,내역서" xfId="1794" xr:uid="{00000000-0005-0000-0000-000001070000}"/>
    <cellStyle name="1_tree_수량산출_구로리총괄내역_구로리설계예산서1029" xfId="1795" xr:uid="{00000000-0005-0000-0000-000002070000}"/>
    <cellStyle name="1_tree_수량산출_구로리총괄내역_구로리설계예산서1029_00-설계서,원가계산,내역서" xfId="1796" xr:uid="{00000000-0005-0000-0000-000003070000}"/>
    <cellStyle name="1_tree_수량산출_구로리총괄내역_구로리설계예산서1029_설계서-1" xfId="1797" xr:uid="{00000000-0005-0000-0000-000004070000}"/>
    <cellStyle name="1_tree_수량산출_구로리총괄내역_구로리설계예산서1029_설계서-1_00-설계서,원가계산,내역서" xfId="1798" xr:uid="{00000000-0005-0000-0000-000005070000}"/>
    <cellStyle name="1_tree_수량산출_구로리총괄내역_구로리설계예산서1029_진해자은수량산출서(단지내)" xfId="1799" xr:uid="{00000000-0005-0000-0000-000006070000}"/>
    <cellStyle name="1_tree_수량산출_구로리총괄내역_구로리설계예산서1029_진해자은수량산출서(단지내)_00-설계서,원가계산,내역서" xfId="1800" xr:uid="{00000000-0005-0000-0000-000007070000}"/>
    <cellStyle name="1_tree_수량산출_구로리총괄내역_구로리설계예산서1029_진해자은수량산출서(단지내)_기초산출표-56-128-최종" xfId="1801" xr:uid="{00000000-0005-0000-0000-000008070000}"/>
    <cellStyle name="1_tree_수량산출_구로리총괄내역_구로리설계예산서1029_진해자은수량산출서(단지내)_기초산출표-56-128-최종_00-설계서,원가계산,내역서" xfId="1802" xr:uid="{00000000-0005-0000-0000-000009070000}"/>
    <cellStyle name="1_tree_수량산출_구로리총괄내역_구로리설계예산서1029_진해자은수량산출서(단지내)_기초산출표-56-128-최종_설계서-1" xfId="1803" xr:uid="{00000000-0005-0000-0000-00000A070000}"/>
    <cellStyle name="1_tree_수량산출_구로리총괄내역_구로리설계예산서1029_진해자은수량산출서(단지내)_기초산출표-56-128-최종_설계서-1_00-설계서,원가계산,내역서" xfId="1804" xr:uid="{00000000-0005-0000-0000-00000B070000}"/>
    <cellStyle name="1_tree_수량산출_구로리총괄내역_구로리설계예산서1029_진해자은수량산출서(단지내)_설계서-1" xfId="1805" xr:uid="{00000000-0005-0000-0000-00000C070000}"/>
    <cellStyle name="1_tree_수량산출_구로리총괄내역_구로리설계예산서1029_진해자은수량산출서(단지내)_설계서-1_00-설계서,원가계산,내역서" xfId="1806" xr:uid="{00000000-0005-0000-0000-00000D070000}"/>
    <cellStyle name="1_tree_수량산출_구로리총괄내역_구로리설계예산서1029_진해자은수량산출서(단지내)_취합" xfId="1807" xr:uid="{00000000-0005-0000-0000-00000E070000}"/>
    <cellStyle name="1_tree_수량산출_구로리총괄내역_구로리설계예산서1029_진해자은수량산출서(단지내)_취합_00-설계서,원가계산,내역서" xfId="1808" xr:uid="{00000000-0005-0000-0000-00000F070000}"/>
    <cellStyle name="1_tree_수량산출_구로리총괄내역_구로리설계예산서1029_진해자은수량산출서(단지내)_취합_설계서-1" xfId="1809" xr:uid="{00000000-0005-0000-0000-000010070000}"/>
    <cellStyle name="1_tree_수량산출_구로리총괄내역_구로리설계예산서1029_진해자은수량산출서(단지내)_취합_설계서-1_00-설계서,원가계산,내역서" xfId="1810" xr:uid="{00000000-0005-0000-0000-000011070000}"/>
    <cellStyle name="1_tree_수량산출_구로리총괄내역_구로리설계예산서1118준공" xfId="1811" xr:uid="{00000000-0005-0000-0000-000012070000}"/>
    <cellStyle name="1_tree_수량산출_구로리총괄내역_구로리설계예산서1118준공_00-설계서,원가계산,내역서" xfId="1812" xr:uid="{00000000-0005-0000-0000-000013070000}"/>
    <cellStyle name="1_tree_수량산출_구로리총괄내역_구로리설계예산서1118준공_설계서-1" xfId="1813" xr:uid="{00000000-0005-0000-0000-000014070000}"/>
    <cellStyle name="1_tree_수량산출_구로리총괄내역_구로리설계예산서1118준공_설계서-1_00-설계서,원가계산,내역서" xfId="1814" xr:uid="{00000000-0005-0000-0000-000015070000}"/>
    <cellStyle name="1_tree_수량산출_구로리총괄내역_구로리설계예산서1118준공_진해자은수량산출서(단지내)" xfId="1815" xr:uid="{00000000-0005-0000-0000-000016070000}"/>
    <cellStyle name="1_tree_수량산출_구로리총괄내역_구로리설계예산서1118준공_진해자은수량산출서(단지내)_00-설계서,원가계산,내역서" xfId="1816" xr:uid="{00000000-0005-0000-0000-000017070000}"/>
    <cellStyle name="1_tree_수량산출_구로리총괄내역_구로리설계예산서1118준공_진해자은수량산출서(단지내)_기초산출표-56-128-최종" xfId="1817" xr:uid="{00000000-0005-0000-0000-000018070000}"/>
    <cellStyle name="1_tree_수량산출_구로리총괄내역_구로리설계예산서1118준공_진해자은수량산출서(단지내)_기초산출표-56-128-최종_00-설계서,원가계산,내역서" xfId="1818" xr:uid="{00000000-0005-0000-0000-000019070000}"/>
    <cellStyle name="1_tree_수량산출_구로리총괄내역_구로리설계예산서1118준공_진해자은수량산출서(단지내)_기초산출표-56-128-최종_설계서-1" xfId="1819" xr:uid="{00000000-0005-0000-0000-00001A070000}"/>
    <cellStyle name="1_tree_수량산출_구로리총괄내역_구로리설계예산서1118준공_진해자은수량산출서(단지내)_기초산출표-56-128-최종_설계서-1_00-설계서,원가계산,내역서" xfId="1820" xr:uid="{00000000-0005-0000-0000-00001B070000}"/>
    <cellStyle name="1_tree_수량산출_구로리총괄내역_구로리설계예산서1118준공_진해자은수량산출서(단지내)_설계서-1" xfId="1821" xr:uid="{00000000-0005-0000-0000-00001C070000}"/>
    <cellStyle name="1_tree_수량산출_구로리총괄내역_구로리설계예산서1118준공_진해자은수량산출서(단지내)_설계서-1_00-설계서,원가계산,내역서" xfId="1822" xr:uid="{00000000-0005-0000-0000-00001D070000}"/>
    <cellStyle name="1_tree_수량산출_구로리총괄내역_구로리설계예산서1118준공_진해자은수량산출서(단지내)_취합" xfId="1823" xr:uid="{00000000-0005-0000-0000-00001E070000}"/>
    <cellStyle name="1_tree_수량산출_구로리총괄내역_구로리설계예산서1118준공_진해자은수량산출서(단지내)_취합_00-설계서,원가계산,내역서" xfId="1824" xr:uid="{00000000-0005-0000-0000-00001F070000}"/>
    <cellStyle name="1_tree_수량산출_구로리총괄내역_구로리설계예산서1118준공_진해자은수량산출서(단지내)_취합_설계서-1" xfId="1825" xr:uid="{00000000-0005-0000-0000-000020070000}"/>
    <cellStyle name="1_tree_수량산출_구로리총괄내역_구로리설계예산서1118준공_진해자은수량산출서(단지내)_취합_설계서-1_00-설계서,원가계산,내역서" xfId="1826" xr:uid="{00000000-0005-0000-0000-000021070000}"/>
    <cellStyle name="1_tree_수량산출_구로리총괄내역_구로리설계예산서조경" xfId="1827" xr:uid="{00000000-0005-0000-0000-000022070000}"/>
    <cellStyle name="1_tree_수량산출_구로리총괄내역_구로리설계예산서조경_00-설계서,원가계산,내역서" xfId="1828" xr:uid="{00000000-0005-0000-0000-000023070000}"/>
    <cellStyle name="1_tree_수량산출_구로리총괄내역_구로리설계예산서조경_설계서-1" xfId="1829" xr:uid="{00000000-0005-0000-0000-000024070000}"/>
    <cellStyle name="1_tree_수량산출_구로리총괄내역_구로리설계예산서조경_설계서-1_00-설계서,원가계산,내역서" xfId="1830" xr:uid="{00000000-0005-0000-0000-000025070000}"/>
    <cellStyle name="1_tree_수량산출_구로리총괄내역_구로리설계예산서조경_진해자은수량산출서(단지내)" xfId="1831" xr:uid="{00000000-0005-0000-0000-000026070000}"/>
    <cellStyle name="1_tree_수량산출_구로리총괄내역_구로리설계예산서조경_진해자은수량산출서(단지내)_00-설계서,원가계산,내역서" xfId="1832" xr:uid="{00000000-0005-0000-0000-000027070000}"/>
    <cellStyle name="1_tree_수량산출_구로리총괄내역_구로리설계예산서조경_진해자은수량산출서(단지내)_기초산출표-56-128-최종" xfId="1833" xr:uid="{00000000-0005-0000-0000-000028070000}"/>
    <cellStyle name="1_tree_수량산출_구로리총괄내역_구로리설계예산서조경_진해자은수량산출서(단지내)_기초산출표-56-128-최종_00-설계서,원가계산,내역서" xfId="1834" xr:uid="{00000000-0005-0000-0000-000029070000}"/>
    <cellStyle name="1_tree_수량산출_구로리총괄내역_구로리설계예산서조경_진해자은수량산출서(단지내)_기초산출표-56-128-최종_설계서-1" xfId="1835" xr:uid="{00000000-0005-0000-0000-00002A070000}"/>
    <cellStyle name="1_tree_수량산출_구로리총괄내역_구로리설계예산서조경_진해자은수량산출서(단지내)_기초산출표-56-128-최종_설계서-1_00-설계서,원가계산,내역서" xfId="1836" xr:uid="{00000000-0005-0000-0000-00002B070000}"/>
    <cellStyle name="1_tree_수량산출_구로리총괄내역_구로리설계예산서조경_진해자은수량산출서(단지내)_설계서-1" xfId="1837" xr:uid="{00000000-0005-0000-0000-00002C070000}"/>
    <cellStyle name="1_tree_수량산출_구로리총괄내역_구로리설계예산서조경_진해자은수량산출서(단지내)_설계서-1_00-설계서,원가계산,내역서" xfId="1838" xr:uid="{00000000-0005-0000-0000-00002D070000}"/>
    <cellStyle name="1_tree_수량산출_구로리총괄내역_구로리설계예산서조경_진해자은수량산출서(단지내)_취합" xfId="1839" xr:uid="{00000000-0005-0000-0000-00002E070000}"/>
    <cellStyle name="1_tree_수량산출_구로리총괄내역_구로리설계예산서조경_진해자은수량산출서(단지내)_취합_00-설계서,원가계산,내역서" xfId="1840" xr:uid="{00000000-0005-0000-0000-00002F070000}"/>
    <cellStyle name="1_tree_수량산출_구로리총괄내역_구로리설계예산서조경_진해자은수량산출서(단지내)_취합_설계서-1" xfId="1841" xr:uid="{00000000-0005-0000-0000-000030070000}"/>
    <cellStyle name="1_tree_수량산출_구로리총괄내역_구로리설계예산서조경_진해자은수량산출서(단지내)_취합_설계서-1_00-설계서,원가계산,내역서" xfId="1842" xr:uid="{00000000-0005-0000-0000-000031070000}"/>
    <cellStyle name="1_tree_수량산출_구로리총괄내역_구로리어린이공원예산서(조경)1125" xfId="1843" xr:uid="{00000000-0005-0000-0000-000032070000}"/>
    <cellStyle name="1_tree_수량산출_구로리총괄내역_구로리어린이공원예산서(조경)1125_00-설계서,원가계산,내역서" xfId="1844" xr:uid="{00000000-0005-0000-0000-000033070000}"/>
    <cellStyle name="1_tree_수량산출_구로리총괄내역_구로리어린이공원예산서(조경)1125_설계서-1" xfId="1845" xr:uid="{00000000-0005-0000-0000-000034070000}"/>
    <cellStyle name="1_tree_수량산출_구로리총괄내역_구로리어린이공원예산서(조경)1125_설계서-1_00-설계서,원가계산,내역서" xfId="1846" xr:uid="{00000000-0005-0000-0000-000035070000}"/>
    <cellStyle name="1_tree_수량산출_구로리총괄내역_구로리어린이공원예산서(조경)1125_진해자은수량산출서(단지내)" xfId="1847" xr:uid="{00000000-0005-0000-0000-000036070000}"/>
    <cellStyle name="1_tree_수량산출_구로리총괄내역_구로리어린이공원예산서(조경)1125_진해자은수량산출서(단지내)_00-설계서,원가계산,내역서" xfId="1848" xr:uid="{00000000-0005-0000-0000-000037070000}"/>
    <cellStyle name="1_tree_수량산출_구로리총괄내역_구로리어린이공원예산서(조경)1125_진해자은수량산출서(단지내)_기초산출표-56-128-최종" xfId="1849" xr:uid="{00000000-0005-0000-0000-000038070000}"/>
    <cellStyle name="1_tree_수량산출_구로리총괄내역_구로리어린이공원예산서(조경)1125_진해자은수량산출서(단지내)_기초산출표-56-128-최종_00-설계서,원가계산,내역서" xfId="1850" xr:uid="{00000000-0005-0000-0000-000039070000}"/>
    <cellStyle name="1_tree_수량산출_구로리총괄내역_구로리어린이공원예산서(조경)1125_진해자은수량산출서(단지내)_기초산출표-56-128-최종_설계서-1" xfId="1851" xr:uid="{00000000-0005-0000-0000-00003A070000}"/>
    <cellStyle name="1_tree_수량산출_구로리총괄내역_구로리어린이공원예산서(조경)1125_진해자은수량산출서(단지내)_기초산출표-56-128-최종_설계서-1_00-설계서,원가계산,내역서" xfId="1852" xr:uid="{00000000-0005-0000-0000-00003B070000}"/>
    <cellStyle name="1_tree_수량산출_구로리총괄내역_구로리어린이공원예산서(조경)1125_진해자은수량산출서(단지내)_설계서-1" xfId="1853" xr:uid="{00000000-0005-0000-0000-00003C070000}"/>
    <cellStyle name="1_tree_수량산출_구로리총괄내역_구로리어린이공원예산서(조경)1125_진해자은수량산출서(단지내)_설계서-1_00-설계서,원가계산,내역서" xfId="1854" xr:uid="{00000000-0005-0000-0000-00003D070000}"/>
    <cellStyle name="1_tree_수량산출_구로리총괄내역_구로리어린이공원예산서(조경)1125_진해자은수량산출서(단지내)_취합" xfId="1855" xr:uid="{00000000-0005-0000-0000-00003E070000}"/>
    <cellStyle name="1_tree_수량산출_구로리총괄내역_구로리어린이공원예산서(조경)1125_진해자은수량산출서(단지내)_취합_00-설계서,원가계산,내역서" xfId="1856" xr:uid="{00000000-0005-0000-0000-00003F070000}"/>
    <cellStyle name="1_tree_수량산출_구로리총괄내역_구로리어린이공원예산서(조경)1125_진해자은수량산출서(단지내)_취합_설계서-1" xfId="1857" xr:uid="{00000000-0005-0000-0000-000040070000}"/>
    <cellStyle name="1_tree_수량산출_구로리총괄내역_구로리어린이공원예산서(조경)1125_진해자은수량산출서(단지내)_취합_설계서-1_00-설계서,원가계산,내역서" xfId="1858" xr:uid="{00000000-0005-0000-0000-000041070000}"/>
    <cellStyle name="1_tree_수량산출_구로리총괄내역_내역서" xfId="1859" xr:uid="{00000000-0005-0000-0000-000042070000}"/>
    <cellStyle name="1_tree_수량산출_구로리총괄내역_내역서_00-설계서,원가계산,내역서" xfId="1860" xr:uid="{00000000-0005-0000-0000-000043070000}"/>
    <cellStyle name="1_tree_수량산출_구로리총괄내역_내역서_설계서-1" xfId="1861" xr:uid="{00000000-0005-0000-0000-000044070000}"/>
    <cellStyle name="1_tree_수량산출_구로리총괄내역_내역서_설계서-1_00-설계서,원가계산,내역서" xfId="1862" xr:uid="{00000000-0005-0000-0000-000045070000}"/>
    <cellStyle name="1_tree_수량산출_구로리총괄내역_내역서_진해자은수량산출서(단지내)" xfId="1863" xr:uid="{00000000-0005-0000-0000-000046070000}"/>
    <cellStyle name="1_tree_수량산출_구로리총괄내역_내역서_진해자은수량산출서(단지내)_00-설계서,원가계산,내역서" xfId="1864" xr:uid="{00000000-0005-0000-0000-000047070000}"/>
    <cellStyle name="1_tree_수량산출_구로리총괄내역_내역서_진해자은수량산출서(단지내)_기초산출표-56-128-최종" xfId="1865" xr:uid="{00000000-0005-0000-0000-000048070000}"/>
    <cellStyle name="1_tree_수량산출_구로리총괄내역_내역서_진해자은수량산출서(단지내)_기초산출표-56-128-최종_00-설계서,원가계산,내역서" xfId="1866" xr:uid="{00000000-0005-0000-0000-000049070000}"/>
    <cellStyle name="1_tree_수량산출_구로리총괄내역_내역서_진해자은수량산출서(단지내)_기초산출표-56-128-최종_설계서-1" xfId="1867" xr:uid="{00000000-0005-0000-0000-00004A070000}"/>
    <cellStyle name="1_tree_수량산출_구로리총괄내역_내역서_진해자은수량산출서(단지내)_기초산출표-56-128-최종_설계서-1_00-설계서,원가계산,내역서" xfId="1868" xr:uid="{00000000-0005-0000-0000-00004B070000}"/>
    <cellStyle name="1_tree_수량산출_구로리총괄내역_내역서_진해자은수량산출서(단지내)_설계서-1" xfId="1869" xr:uid="{00000000-0005-0000-0000-00004C070000}"/>
    <cellStyle name="1_tree_수량산출_구로리총괄내역_내역서_진해자은수량산출서(단지내)_설계서-1_00-설계서,원가계산,내역서" xfId="1870" xr:uid="{00000000-0005-0000-0000-00004D070000}"/>
    <cellStyle name="1_tree_수량산출_구로리총괄내역_내역서_진해자은수량산출서(단지내)_취합" xfId="1871" xr:uid="{00000000-0005-0000-0000-00004E070000}"/>
    <cellStyle name="1_tree_수량산출_구로리총괄내역_내역서_진해자은수량산출서(단지내)_취합_00-설계서,원가계산,내역서" xfId="1872" xr:uid="{00000000-0005-0000-0000-00004F070000}"/>
    <cellStyle name="1_tree_수량산출_구로리총괄내역_내역서_진해자은수량산출서(단지내)_취합_설계서-1" xfId="1873" xr:uid="{00000000-0005-0000-0000-000050070000}"/>
    <cellStyle name="1_tree_수량산출_구로리총괄내역_내역서_진해자은수량산출서(단지내)_취합_설계서-1_00-설계서,원가계산,내역서" xfId="1874" xr:uid="{00000000-0005-0000-0000-000051070000}"/>
    <cellStyle name="1_tree_수량산출_구로리총괄내역_노임단가표" xfId="1875" xr:uid="{00000000-0005-0000-0000-000052070000}"/>
    <cellStyle name="1_tree_수량산출_구로리총괄내역_노임단가표_00-설계서,원가계산,내역서" xfId="1876" xr:uid="{00000000-0005-0000-0000-000053070000}"/>
    <cellStyle name="1_tree_수량산출_구로리총괄내역_노임단가표_설계서-1" xfId="1877" xr:uid="{00000000-0005-0000-0000-000054070000}"/>
    <cellStyle name="1_tree_수량산출_구로리총괄내역_노임단가표_설계서-1_00-설계서,원가계산,내역서" xfId="1878" xr:uid="{00000000-0005-0000-0000-000055070000}"/>
    <cellStyle name="1_tree_수량산출_구로리총괄내역_노임단가표_진해자은수량산출서(단지내)" xfId="1879" xr:uid="{00000000-0005-0000-0000-000056070000}"/>
    <cellStyle name="1_tree_수량산출_구로리총괄내역_노임단가표_진해자은수량산출서(단지내)_00-설계서,원가계산,내역서" xfId="1880" xr:uid="{00000000-0005-0000-0000-000057070000}"/>
    <cellStyle name="1_tree_수량산출_구로리총괄내역_노임단가표_진해자은수량산출서(단지내)_기초산출표-56-128-최종" xfId="1881" xr:uid="{00000000-0005-0000-0000-000058070000}"/>
    <cellStyle name="1_tree_수량산출_구로리총괄내역_노임단가표_진해자은수량산출서(단지내)_기초산출표-56-128-최종_00-설계서,원가계산,내역서" xfId="1882" xr:uid="{00000000-0005-0000-0000-000059070000}"/>
    <cellStyle name="1_tree_수량산출_구로리총괄내역_노임단가표_진해자은수량산출서(단지내)_기초산출표-56-128-최종_설계서-1" xfId="1883" xr:uid="{00000000-0005-0000-0000-00005A070000}"/>
    <cellStyle name="1_tree_수량산출_구로리총괄내역_노임단가표_진해자은수량산출서(단지내)_기초산출표-56-128-최종_설계서-1_00-설계서,원가계산,내역서" xfId="1884" xr:uid="{00000000-0005-0000-0000-00005B070000}"/>
    <cellStyle name="1_tree_수량산출_구로리총괄내역_노임단가표_진해자은수량산출서(단지내)_설계서-1" xfId="1885" xr:uid="{00000000-0005-0000-0000-00005C070000}"/>
    <cellStyle name="1_tree_수량산출_구로리총괄내역_노임단가표_진해자은수량산출서(단지내)_설계서-1_00-설계서,원가계산,내역서" xfId="1886" xr:uid="{00000000-0005-0000-0000-00005D070000}"/>
    <cellStyle name="1_tree_수량산출_구로리총괄내역_노임단가표_진해자은수량산출서(단지내)_취합" xfId="1887" xr:uid="{00000000-0005-0000-0000-00005E070000}"/>
    <cellStyle name="1_tree_수량산출_구로리총괄내역_노임단가표_진해자은수량산출서(단지내)_취합_00-설계서,원가계산,내역서" xfId="1888" xr:uid="{00000000-0005-0000-0000-00005F070000}"/>
    <cellStyle name="1_tree_수량산출_구로리총괄내역_노임단가표_진해자은수량산출서(단지내)_취합_설계서-1" xfId="1889" xr:uid="{00000000-0005-0000-0000-000060070000}"/>
    <cellStyle name="1_tree_수량산출_구로리총괄내역_노임단가표_진해자은수량산출서(단지내)_취합_설계서-1_00-설계서,원가계산,내역서" xfId="1890" xr:uid="{00000000-0005-0000-0000-000061070000}"/>
    <cellStyle name="1_tree_수량산출_구로리총괄내역_설계서-1" xfId="1891" xr:uid="{00000000-0005-0000-0000-000062070000}"/>
    <cellStyle name="1_tree_수량산출_구로리총괄내역_설계서-1_00-설계서,원가계산,내역서" xfId="1892" xr:uid="{00000000-0005-0000-0000-000063070000}"/>
    <cellStyle name="1_tree_수량산출_구로리총괄내역_수도권매립지" xfId="1893" xr:uid="{00000000-0005-0000-0000-000064070000}"/>
    <cellStyle name="1_tree_수량산출_구로리총괄내역_수도권매립지_00-설계서,원가계산,내역서" xfId="1894" xr:uid="{00000000-0005-0000-0000-000065070000}"/>
    <cellStyle name="1_tree_수량산출_구로리총괄내역_수도권매립지_설계서-1" xfId="1895" xr:uid="{00000000-0005-0000-0000-000066070000}"/>
    <cellStyle name="1_tree_수량산출_구로리총괄내역_수도권매립지_설계서-1_00-설계서,원가계산,내역서" xfId="1896" xr:uid="{00000000-0005-0000-0000-000067070000}"/>
    <cellStyle name="1_tree_수량산출_구로리총괄내역_수도권매립지_진해자은수량산출서(단지내)" xfId="1897" xr:uid="{00000000-0005-0000-0000-000068070000}"/>
    <cellStyle name="1_tree_수량산출_구로리총괄내역_수도권매립지_진해자은수량산출서(단지내)_00-설계서,원가계산,내역서" xfId="1898" xr:uid="{00000000-0005-0000-0000-000069070000}"/>
    <cellStyle name="1_tree_수량산출_구로리총괄내역_수도권매립지_진해자은수량산출서(단지내)_기초산출표-56-128-최종" xfId="1899" xr:uid="{00000000-0005-0000-0000-00006A070000}"/>
    <cellStyle name="1_tree_수량산출_구로리총괄내역_수도권매립지_진해자은수량산출서(단지내)_기초산출표-56-128-최종_00-설계서,원가계산,내역서" xfId="1900" xr:uid="{00000000-0005-0000-0000-00006B070000}"/>
    <cellStyle name="1_tree_수량산출_구로리총괄내역_수도권매립지_진해자은수량산출서(단지내)_기초산출표-56-128-최종_설계서-1" xfId="1901" xr:uid="{00000000-0005-0000-0000-00006C070000}"/>
    <cellStyle name="1_tree_수량산출_구로리총괄내역_수도권매립지_진해자은수량산출서(단지내)_기초산출표-56-128-최종_설계서-1_00-설계서,원가계산,내역서" xfId="1902" xr:uid="{00000000-0005-0000-0000-00006D070000}"/>
    <cellStyle name="1_tree_수량산출_구로리총괄내역_수도권매립지_진해자은수량산출서(단지내)_설계서-1" xfId="1903" xr:uid="{00000000-0005-0000-0000-00006E070000}"/>
    <cellStyle name="1_tree_수량산출_구로리총괄내역_수도권매립지_진해자은수량산출서(단지내)_설계서-1_00-설계서,원가계산,내역서" xfId="1904" xr:uid="{00000000-0005-0000-0000-00006F070000}"/>
    <cellStyle name="1_tree_수량산출_구로리총괄내역_수도권매립지_진해자은수량산출서(단지내)_취합" xfId="1905" xr:uid="{00000000-0005-0000-0000-000070070000}"/>
    <cellStyle name="1_tree_수량산출_구로리총괄내역_수도권매립지_진해자은수량산출서(단지내)_취합_00-설계서,원가계산,내역서" xfId="1906" xr:uid="{00000000-0005-0000-0000-000071070000}"/>
    <cellStyle name="1_tree_수량산출_구로리총괄내역_수도권매립지_진해자은수량산출서(단지내)_취합_설계서-1" xfId="1907" xr:uid="{00000000-0005-0000-0000-000072070000}"/>
    <cellStyle name="1_tree_수량산출_구로리총괄내역_수도권매립지_진해자은수량산출서(단지내)_취합_설계서-1_00-설계서,원가계산,내역서" xfId="1908" xr:uid="{00000000-0005-0000-0000-000073070000}"/>
    <cellStyle name="1_tree_수량산출_구로리총괄내역_수도권매립지1004(발주용)" xfId="1909" xr:uid="{00000000-0005-0000-0000-000074070000}"/>
    <cellStyle name="1_tree_수량산출_구로리총괄내역_수도권매립지1004(발주용)_00-설계서,원가계산,내역서" xfId="1910" xr:uid="{00000000-0005-0000-0000-000075070000}"/>
    <cellStyle name="1_tree_수량산출_구로리총괄내역_수도권매립지1004(발주용)_설계서-1" xfId="1911" xr:uid="{00000000-0005-0000-0000-000076070000}"/>
    <cellStyle name="1_tree_수량산출_구로리총괄내역_수도권매립지1004(발주용)_설계서-1_00-설계서,원가계산,내역서" xfId="1912" xr:uid="{00000000-0005-0000-0000-000077070000}"/>
    <cellStyle name="1_tree_수량산출_구로리총괄내역_수도권매립지1004(발주용)_진해자은수량산출서(단지내)" xfId="1913" xr:uid="{00000000-0005-0000-0000-000078070000}"/>
    <cellStyle name="1_tree_수량산출_구로리총괄내역_수도권매립지1004(발주용)_진해자은수량산출서(단지내)_00-설계서,원가계산,내역서" xfId="1914" xr:uid="{00000000-0005-0000-0000-000079070000}"/>
    <cellStyle name="1_tree_수량산출_구로리총괄내역_수도권매립지1004(발주용)_진해자은수량산출서(단지내)_기초산출표-56-128-최종" xfId="1915" xr:uid="{00000000-0005-0000-0000-00007A070000}"/>
    <cellStyle name="1_tree_수량산출_구로리총괄내역_수도권매립지1004(발주용)_진해자은수량산출서(단지내)_기초산출표-56-128-최종_00-설계서,원가계산,내역서" xfId="1916" xr:uid="{00000000-0005-0000-0000-00007B070000}"/>
    <cellStyle name="1_tree_수량산출_구로리총괄내역_수도권매립지1004(발주용)_진해자은수량산출서(단지내)_기초산출표-56-128-최종_설계서-1" xfId="1917" xr:uid="{00000000-0005-0000-0000-00007C070000}"/>
    <cellStyle name="1_tree_수량산출_구로리총괄내역_수도권매립지1004(발주용)_진해자은수량산출서(단지내)_기초산출표-56-128-최종_설계서-1_00-설계서,원가계산,내역서" xfId="1918" xr:uid="{00000000-0005-0000-0000-00007D070000}"/>
    <cellStyle name="1_tree_수량산출_구로리총괄내역_수도권매립지1004(발주용)_진해자은수량산출서(단지내)_설계서-1" xfId="1919" xr:uid="{00000000-0005-0000-0000-00007E070000}"/>
    <cellStyle name="1_tree_수량산출_구로리총괄내역_수도권매립지1004(발주용)_진해자은수량산출서(단지내)_설계서-1_00-설계서,원가계산,내역서" xfId="1920" xr:uid="{00000000-0005-0000-0000-00007F070000}"/>
    <cellStyle name="1_tree_수량산출_구로리총괄내역_수도권매립지1004(발주용)_진해자은수량산출서(단지내)_취합" xfId="1921" xr:uid="{00000000-0005-0000-0000-000080070000}"/>
    <cellStyle name="1_tree_수량산출_구로리총괄내역_수도권매립지1004(발주용)_진해자은수량산출서(단지내)_취합_00-설계서,원가계산,내역서" xfId="1922" xr:uid="{00000000-0005-0000-0000-000081070000}"/>
    <cellStyle name="1_tree_수량산출_구로리총괄내역_수도권매립지1004(발주용)_진해자은수량산출서(단지내)_취합_설계서-1" xfId="1923" xr:uid="{00000000-0005-0000-0000-000082070000}"/>
    <cellStyle name="1_tree_수량산출_구로리총괄내역_수도권매립지1004(발주용)_진해자은수량산출서(단지내)_취합_설계서-1_00-설계서,원가계산,내역서" xfId="1924" xr:uid="{00000000-0005-0000-0000-000083070000}"/>
    <cellStyle name="1_tree_수량산출_구로리총괄내역_일신건영설계예산서(0211)" xfId="1925" xr:uid="{00000000-0005-0000-0000-000084070000}"/>
    <cellStyle name="1_tree_수량산출_구로리총괄내역_일신건영설계예산서(0211)_00-설계서,원가계산,내역서" xfId="1926" xr:uid="{00000000-0005-0000-0000-000085070000}"/>
    <cellStyle name="1_tree_수량산출_구로리총괄내역_일신건영설계예산서(0211)_설계서-1" xfId="1927" xr:uid="{00000000-0005-0000-0000-000086070000}"/>
    <cellStyle name="1_tree_수량산출_구로리총괄내역_일신건영설계예산서(0211)_설계서-1_00-설계서,원가계산,내역서" xfId="1928" xr:uid="{00000000-0005-0000-0000-000087070000}"/>
    <cellStyle name="1_tree_수량산출_구로리총괄내역_일신건영설계예산서(0211)_진해자은수량산출서(단지내)" xfId="1929" xr:uid="{00000000-0005-0000-0000-000088070000}"/>
    <cellStyle name="1_tree_수량산출_구로리총괄내역_일신건영설계예산서(0211)_진해자은수량산출서(단지내)_00-설계서,원가계산,내역서" xfId="1930" xr:uid="{00000000-0005-0000-0000-000089070000}"/>
    <cellStyle name="1_tree_수량산출_구로리총괄내역_일신건영설계예산서(0211)_진해자은수량산출서(단지내)_기초산출표-56-128-최종" xfId="1931" xr:uid="{00000000-0005-0000-0000-00008A070000}"/>
    <cellStyle name="1_tree_수량산출_구로리총괄내역_일신건영설계예산서(0211)_진해자은수량산출서(단지내)_기초산출표-56-128-최종_00-설계서,원가계산,내역서" xfId="1932" xr:uid="{00000000-0005-0000-0000-00008B070000}"/>
    <cellStyle name="1_tree_수량산출_구로리총괄내역_일신건영설계예산서(0211)_진해자은수량산출서(단지내)_기초산출표-56-128-최종_설계서-1" xfId="1933" xr:uid="{00000000-0005-0000-0000-00008C070000}"/>
    <cellStyle name="1_tree_수량산출_구로리총괄내역_일신건영설계예산서(0211)_진해자은수량산출서(단지내)_기초산출표-56-128-최종_설계서-1_00-설계서,원가계산,내역서" xfId="1934" xr:uid="{00000000-0005-0000-0000-00008D070000}"/>
    <cellStyle name="1_tree_수량산출_구로리총괄내역_일신건영설계예산서(0211)_진해자은수량산출서(단지내)_설계서-1" xfId="1935" xr:uid="{00000000-0005-0000-0000-00008E070000}"/>
    <cellStyle name="1_tree_수량산출_구로리총괄내역_일신건영설계예산서(0211)_진해자은수량산출서(단지내)_설계서-1_00-설계서,원가계산,내역서" xfId="1936" xr:uid="{00000000-0005-0000-0000-00008F070000}"/>
    <cellStyle name="1_tree_수량산출_구로리총괄내역_일신건영설계예산서(0211)_진해자은수량산출서(단지내)_취합" xfId="1937" xr:uid="{00000000-0005-0000-0000-000090070000}"/>
    <cellStyle name="1_tree_수량산출_구로리총괄내역_일신건영설계예산서(0211)_진해자은수량산출서(단지내)_취합_00-설계서,원가계산,내역서" xfId="1938" xr:uid="{00000000-0005-0000-0000-000091070000}"/>
    <cellStyle name="1_tree_수량산출_구로리총괄내역_일신건영설계예산서(0211)_진해자은수량산출서(단지내)_취합_설계서-1" xfId="1939" xr:uid="{00000000-0005-0000-0000-000092070000}"/>
    <cellStyle name="1_tree_수량산출_구로리총괄내역_일신건영설계예산서(0211)_진해자은수량산출서(단지내)_취합_설계서-1_00-설계서,원가계산,내역서" xfId="1940" xr:uid="{00000000-0005-0000-0000-000093070000}"/>
    <cellStyle name="1_tree_수량산출_구로리총괄내역_일위대가" xfId="1941" xr:uid="{00000000-0005-0000-0000-000094070000}"/>
    <cellStyle name="1_tree_수량산출_구로리총괄내역_일위대가_00-설계서,원가계산,내역서" xfId="1942" xr:uid="{00000000-0005-0000-0000-000095070000}"/>
    <cellStyle name="1_tree_수량산출_구로리총괄내역_일위대가_설계서-1" xfId="1943" xr:uid="{00000000-0005-0000-0000-000096070000}"/>
    <cellStyle name="1_tree_수량산출_구로리총괄내역_일위대가_설계서-1_00-설계서,원가계산,내역서" xfId="1944" xr:uid="{00000000-0005-0000-0000-000097070000}"/>
    <cellStyle name="1_tree_수량산출_구로리총괄내역_일위대가_진해자은수량산출서(단지내)" xfId="1945" xr:uid="{00000000-0005-0000-0000-000098070000}"/>
    <cellStyle name="1_tree_수량산출_구로리총괄내역_일위대가_진해자은수량산출서(단지내)_00-설계서,원가계산,내역서" xfId="1946" xr:uid="{00000000-0005-0000-0000-000099070000}"/>
    <cellStyle name="1_tree_수량산출_구로리총괄내역_일위대가_진해자은수량산출서(단지내)_기초산출표-56-128-최종" xfId="1947" xr:uid="{00000000-0005-0000-0000-00009A070000}"/>
    <cellStyle name="1_tree_수량산출_구로리총괄내역_일위대가_진해자은수량산출서(단지내)_기초산출표-56-128-최종_00-설계서,원가계산,내역서" xfId="1948" xr:uid="{00000000-0005-0000-0000-00009B070000}"/>
    <cellStyle name="1_tree_수량산출_구로리총괄내역_일위대가_진해자은수량산출서(단지내)_기초산출표-56-128-최종_설계서-1" xfId="1949" xr:uid="{00000000-0005-0000-0000-00009C070000}"/>
    <cellStyle name="1_tree_수량산출_구로리총괄내역_일위대가_진해자은수량산출서(단지내)_기초산출표-56-128-최종_설계서-1_00-설계서,원가계산,내역서" xfId="1950" xr:uid="{00000000-0005-0000-0000-00009D070000}"/>
    <cellStyle name="1_tree_수량산출_구로리총괄내역_일위대가_진해자은수량산출서(단지내)_설계서-1" xfId="1951" xr:uid="{00000000-0005-0000-0000-00009E070000}"/>
    <cellStyle name="1_tree_수량산출_구로리총괄내역_일위대가_진해자은수량산출서(단지내)_설계서-1_00-설계서,원가계산,내역서" xfId="1952" xr:uid="{00000000-0005-0000-0000-00009F070000}"/>
    <cellStyle name="1_tree_수량산출_구로리총괄내역_일위대가_진해자은수량산출서(단지내)_취합" xfId="1953" xr:uid="{00000000-0005-0000-0000-0000A0070000}"/>
    <cellStyle name="1_tree_수량산출_구로리총괄내역_일위대가_진해자은수량산출서(단지내)_취합_00-설계서,원가계산,내역서" xfId="1954" xr:uid="{00000000-0005-0000-0000-0000A1070000}"/>
    <cellStyle name="1_tree_수량산출_구로리총괄내역_일위대가_진해자은수량산출서(단지내)_취합_설계서-1" xfId="1955" xr:uid="{00000000-0005-0000-0000-0000A2070000}"/>
    <cellStyle name="1_tree_수량산출_구로리총괄내역_일위대가_진해자은수량산출서(단지내)_취합_설계서-1_00-설계서,원가계산,내역서" xfId="1956" xr:uid="{00000000-0005-0000-0000-0000A3070000}"/>
    <cellStyle name="1_tree_수량산출_구로리총괄내역_자재단가표" xfId="1957" xr:uid="{00000000-0005-0000-0000-0000A4070000}"/>
    <cellStyle name="1_tree_수량산출_구로리총괄내역_자재단가표_00-설계서,원가계산,내역서" xfId="1958" xr:uid="{00000000-0005-0000-0000-0000A5070000}"/>
    <cellStyle name="1_tree_수량산출_구로리총괄내역_자재단가표_설계서-1" xfId="1959" xr:uid="{00000000-0005-0000-0000-0000A6070000}"/>
    <cellStyle name="1_tree_수량산출_구로리총괄내역_자재단가표_설계서-1_00-설계서,원가계산,내역서" xfId="1960" xr:uid="{00000000-0005-0000-0000-0000A7070000}"/>
    <cellStyle name="1_tree_수량산출_구로리총괄내역_자재단가표_진해자은수량산출서(단지내)" xfId="1961" xr:uid="{00000000-0005-0000-0000-0000A8070000}"/>
    <cellStyle name="1_tree_수량산출_구로리총괄내역_자재단가표_진해자은수량산출서(단지내)_00-설계서,원가계산,내역서" xfId="1962" xr:uid="{00000000-0005-0000-0000-0000A9070000}"/>
    <cellStyle name="1_tree_수량산출_구로리총괄내역_자재단가표_진해자은수량산출서(단지내)_기초산출표-56-128-최종" xfId="1963" xr:uid="{00000000-0005-0000-0000-0000AA070000}"/>
    <cellStyle name="1_tree_수량산출_구로리총괄내역_자재단가표_진해자은수량산출서(단지내)_기초산출표-56-128-최종_00-설계서,원가계산,내역서" xfId="1964" xr:uid="{00000000-0005-0000-0000-0000AB070000}"/>
    <cellStyle name="1_tree_수량산출_구로리총괄내역_자재단가표_진해자은수량산출서(단지내)_기초산출표-56-128-최종_설계서-1" xfId="1965" xr:uid="{00000000-0005-0000-0000-0000AC070000}"/>
    <cellStyle name="1_tree_수량산출_구로리총괄내역_자재단가표_진해자은수량산출서(단지내)_기초산출표-56-128-최종_설계서-1_00-설계서,원가계산,내역서" xfId="1966" xr:uid="{00000000-0005-0000-0000-0000AD070000}"/>
    <cellStyle name="1_tree_수량산출_구로리총괄내역_자재단가표_진해자은수량산출서(단지내)_설계서-1" xfId="1967" xr:uid="{00000000-0005-0000-0000-0000AE070000}"/>
    <cellStyle name="1_tree_수량산출_구로리총괄내역_자재단가표_진해자은수량산출서(단지내)_설계서-1_00-설계서,원가계산,내역서" xfId="1968" xr:uid="{00000000-0005-0000-0000-0000AF070000}"/>
    <cellStyle name="1_tree_수량산출_구로리총괄내역_자재단가표_진해자은수량산출서(단지내)_취합" xfId="1969" xr:uid="{00000000-0005-0000-0000-0000B0070000}"/>
    <cellStyle name="1_tree_수량산출_구로리총괄내역_자재단가표_진해자은수량산출서(단지내)_취합_00-설계서,원가계산,내역서" xfId="1970" xr:uid="{00000000-0005-0000-0000-0000B1070000}"/>
    <cellStyle name="1_tree_수량산출_구로리총괄내역_자재단가표_진해자은수량산출서(단지내)_취합_설계서-1" xfId="1971" xr:uid="{00000000-0005-0000-0000-0000B2070000}"/>
    <cellStyle name="1_tree_수량산출_구로리총괄내역_자재단가표_진해자은수량산출서(단지내)_취합_설계서-1_00-설계서,원가계산,내역서" xfId="1972" xr:uid="{00000000-0005-0000-0000-0000B3070000}"/>
    <cellStyle name="1_tree_수량산출_구로리총괄내역_장안초등학교내역0814" xfId="1973" xr:uid="{00000000-0005-0000-0000-0000B4070000}"/>
    <cellStyle name="1_tree_수량산출_구로리총괄내역_장안초등학교내역0814_00-설계서,원가계산,내역서" xfId="1974" xr:uid="{00000000-0005-0000-0000-0000B5070000}"/>
    <cellStyle name="1_tree_수량산출_구로리총괄내역_장안초등학교내역0814_설계서-1" xfId="1975" xr:uid="{00000000-0005-0000-0000-0000B6070000}"/>
    <cellStyle name="1_tree_수량산출_구로리총괄내역_장안초등학교내역0814_설계서-1_00-설계서,원가계산,내역서" xfId="1976" xr:uid="{00000000-0005-0000-0000-0000B7070000}"/>
    <cellStyle name="1_tree_수량산출_구로리총괄내역_장안초등학교내역0814_진해자은수량산출서(단지내)" xfId="1977" xr:uid="{00000000-0005-0000-0000-0000B8070000}"/>
    <cellStyle name="1_tree_수량산출_구로리총괄내역_장안초등학교내역0814_진해자은수량산출서(단지내)_00-설계서,원가계산,내역서" xfId="1978" xr:uid="{00000000-0005-0000-0000-0000B9070000}"/>
    <cellStyle name="1_tree_수량산출_구로리총괄내역_장안초등학교내역0814_진해자은수량산출서(단지내)_기초산출표-56-128-최종" xfId="1979" xr:uid="{00000000-0005-0000-0000-0000BA070000}"/>
    <cellStyle name="1_tree_수량산출_구로리총괄내역_장안초등학교내역0814_진해자은수량산출서(단지내)_기초산출표-56-128-최종_00-설계서,원가계산,내역서" xfId="1980" xr:uid="{00000000-0005-0000-0000-0000BB070000}"/>
    <cellStyle name="1_tree_수량산출_구로리총괄내역_장안초등학교내역0814_진해자은수량산출서(단지내)_기초산출표-56-128-최종_설계서-1" xfId="1981" xr:uid="{00000000-0005-0000-0000-0000BC070000}"/>
    <cellStyle name="1_tree_수량산출_구로리총괄내역_장안초등학교내역0814_진해자은수량산출서(단지내)_기초산출표-56-128-최종_설계서-1_00-설계서,원가계산,내역서" xfId="1982" xr:uid="{00000000-0005-0000-0000-0000BD070000}"/>
    <cellStyle name="1_tree_수량산출_구로리총괄내역_장안초등학교내역0814_진해자은수량산출서(단지내)_설계서-1" xfId="1983" xr:uid="{00000000-0005-0000-0000-0000BE070000}"/>
    <cellStyle name="1_tree_수량산출_구로리총괄내역_장안초등학교내역0814_진해자은수량산출서(단지내)_설계서-1_00-설계서,원가계산,내역서" xfId="1984" xr:uid="{00000000-0005-0000-0000-0000BF070000}"/>
    <cellStyle name="1_tree_수량산출_구로리총괄내역_장안초등학교내역0814_진해자은수량산출서(단지내)_취합" xfId="1985" xr:uid="{00000000-0005-0000-0000-0000C0070000}"/>
    <cellStyle name="1_tree_수량산출_구로리총괄내역_장안초등학교내역0814_진해자은수량산출서(단지내)_취합_00-설계서,원가계산,내역서" xfId="1986" xr:uid="{00000000-0005-0000-0000-0000C1070000}"/>
    <cellStyle name="1_tree_수량산출_구로리총괄내역_장안초등학교내역0814_진해자은수량산출서(단지내)_취합_설계서-1" xfId="1987" xr:uid="{00000000-0005-0000-0000-0000C2070000}"/>
    <cellStyle name="1_tree_수량산출_구로리총괄내역_장안초등학교내역0814_진해자은수량산출서(단지내)_취합_설계서-1_00-설계서,원가계산,내역서" xfId="1988" xr:uid="{00000000-0005-0000-0000-0000C3070000}"/>
    <cellStyle name="1_tree_수량산출_구로리총괄내역_진해자은수량산출서(단지내)" xfId="1989" xr:uid="{00000000-0005-0000-0000-0000C4070000}"/>
    <cellStyle name="1_tree_수량산출_구로리총괄내역_진해자은수량산출서(단지내)_00-설계서,원가계산,내역서" xfId="1990" xr:uid="{00000000-0005-0000-0000-0000C5070000}"/>
    <cellStyle name="1_tree_수량산출_구로리총괄내역_진해자은수량산출서(단지내)_기초산출표-56-128-최종" xfId="1991" xr:uid="{00000000-0005-0000-0000-0000C6070000}"/>
    <cellStyle name="1_tree_수량산출_구로리총괄내역_진해자은수량산출서(단지내)_기초산출표-56-128-최종_00-설계서,원가계산,내역서" xfId="1992" xr:uid="{00000000-0005-0000-0000-0000C7070000}"/>
    <cellStyle name="1_tree_수량산출_구로리총괄내역_진해자은수량산출서(단지내)_기초산출표-56-128-최종_설계서-1" xfId="1993" xr:uid="{00000000-0005-0000-0000-0000C8070000}"/>
    <cellStyle name="1_tree_수량산출_구로리총괄내역_진해자은수량산출서(단지내)_기초산출표-56-128-최종_설계서-1_00-설계서,원가계산,내역서" xfId="1994" xr:uid="{00000000-0005-0000-0000-0000C9070000}"/>
    <cellStyle name="1_tree_수량산출_구로리총괄내역_진해자은수량산출서(단지내)_설계서-1" xfId="1995" xr:uid="{00000000-0005-0000-0000-0000CA070000}"/>
    <cellStyle name="1_tree_수량산출_구로리총괄내역_진해자은수량산출서(단지내)_설계서-1_00-설계서,원가계산,내역서" xfId="1996" xr:uid="{00000000-0005-0000-0000-0000CB070000}"/>
    <cellStyle name="1_tree_수량산출_구로리총괄내역_진해자은수량산출서(단지내)_취합" xfId="1997" xr:uid="{00000000-0005-0000-0000-0000CC070000}"/>
    <cellStyle name="1_tree_수량산출_구로리총괄내역_진해자은수량산출서(단지내)_취합_00-설계서,원가계산,내역서" xfId="1998" xr:uid="{00000000-0005-0000-0000-0000CD070000}"/>
    <cellStyle name="1_tree_수량산출_구로리총괄내역_진해자은수량산출서(단지내)_취합_설계서-1" xfId="1999" xr:uid="{00000000-0005-0000-0000-0000CE070000}"/>
    <cellStyle name="1_tree_수량산출_구로리총괄내역_진해자은수량산출서(단지내)_취합_설계서-1_00-설계서,원가계산,내역서" xfId="2000" xr:uid="{00000000-0005-0000-0000-0000CF070000}"/>
    <cellStyle name="1_tree_수량산출_목동내역" xfId="2001" xr:uid="{00000000-0005-0000-0000-0000D0070000}"/>
    <cellStyle name="1_tree_수량산출_목동내역_00-설계서,원가계산,내역서" xfId="2002" xr:uid="{00000000-0005-0000-0000-0000D1070000}"/>
    <cellStyle name="1_tree_수량산출_목동내역_폐기물집계" xfId="2003" xr:uid="{00000000-0005-0000-0000-0000D2070000}"/>
    <cellStyle name="1_tree_수량산출_목동내역_폐기물집계_00-설계서,원가계산,내역서" xfId="2004" xr:uid="{00000000-0005-0000-0000-0000D3070000}"/>
    <cellStyle name="1_tree_수량산출_설계서-1" xfId="2005" xr:uid="{00000000-0005-0000-0000-0000D4070000}"/>
    <cellStyle name="1_tree_수량산출_설계서-1_00-설계서,원가계산,내역서" xfId="2006" xr:uid="{00000000-0005-0000-0000-0000D5070000}"/>
    <cellStyle name="1_tree_수량산출_이문동구간중랑천변녹화사업(수량산출서, 071127)-최종" xfId="2007" xr:uid="{00000000-0005-0000-0000-0000D6070000}"/>
    <cellStyle name="1_tree_수량산출_이문동구간중랑천변녹화사업(수량산출서, 071127)-최종_00-설계서,원가계산,내역서" xfId="2008" xr:uid="{00000000-0005-0000-0000-0000D7070000}"/>
    <cellStyle name="1_tree_수량산출_진해자은수량산출서(단지내)" xfId="2009" xr:uid="{00000000-0005-0000-0000-0000D8070000}"/>
    <cellStyle name="1_tree_수량산출_진해자은수량산출서(단지내)_00-설계서,원가계산,내역서" xfId="2010" xr:uid="{00000000-0005-0000-0000-0000D9070000}"/>
    <cellStyle name="1_tree_수량산출_진해자은수량산출서(단지내)_기초산출표-56-128-최종" xfId="2011" xr:uid="{00000000-0005-0000-0000-0000DA070000}"/>
    <cellStyle name="1_tree_수량산출_진해자은수량산출서(단지내)_기초산출표-56-128-최종_00-설계서,원가계산,내역서" xfId="2012" xr:uid="{00000000-0005-0000-0000-0000DB070000}"/>
    <cellStyle name="1_tree_수량산출_진해자은수량산출서(단지내)_기초산출표-56-128-최종_설계서-1" xfId="2013" xr:uid="{00000000-0005-0000-0000-0000DC070000}"/>
    <cellStyle name="1_tree_수량산출_진해자은수량산출서(단지내)_기초산출표-56-128-최종_설계서-1_00-설계서,원가계산,내역서" xfId="2014" xr:uid="{00000000-0005-0000-0000-0000DD070000}"/>
    <cellStyle name="1_tree_수량산출_진해자은수량산출서(단지내)_설계서-1" xfId="2015" xr:uid="{00000000-0005-0000-0000-0000DE070000}"/>
    <cellStyle name="1_tree_수량산출_진해자은수량산출서(단지내)_설계서-1_00-설계서,원가계산,내역서" xfId="2016" xr:uid="{00000000-0005-0000-0000-0000DF070000}"/>
    <cellStyle name="1_tree_수량산출_진해자은수량산출서(단지내)_취합" xfId="2017" xr:uid="{00000000-0005-0000-0000-0000E0070000}"/>
    <cellStyle name="1_tree_수량산출_진해자은수량산출서(단지내)_취합_00-설계서,원가계산,내역서" xfId="2018" xr:uid="{00000000-0005-0000-0000-0000E1070000}"/>
    <cellStyle name="1_tree_수량산출_진해자은수량산출서(단지내)_취합_설계서-1" xfId="2019" xr:uid="{00000000-0005-0000-0000-0000E2070000}"/>
    <cellStyle name="1_tree_수량산출_진해자은수량산출서(단지내)_취합_설계서-1_00-설계서,원가계산,내역서" xfId="2020" xr:uid="{00000000-0005-0000-0000-0000E3070000}"/>
    <cellStyle name="1_tree_수량산출_총괄내역0518" xfId="2021" xr:uid="{00000000-0005-0000-0000-0000E4070000}"/>
    <cellStyle name="1_tree_수량산출_총괄내역0518_00-설계서,원가계산,내역서" xfId="2022" xr:uid="{00000000-0005-0000-0000-0000E5070000}"/>
    <cellStyle name="1_tree_수량산출_총괄내역0518_구로리설계예산서1029" xfId="2023" xr:uid="{00000000-0005-0000-0000-0000E6070000}"/>
    <cellStyle name="1_tree_수량산출_총괄내역0518_구로리설계예산서1029_00-설계서,원가계산,내역서" xfId="2024" xr:uid="{00000000-0005-0000-0000-0000E7070000}"/>
    <cellStyle name="1_tree_수량산출_총괄내역0518_구로리설계예산서1029_설계서-1" xfId="2025" xr:uid="{00000000-0005-0000-0000-0000E8070000}"/>
    <cellStyle name="1_tree_수량산출_총괄내역0518_구로리설계예산서1029_설계서-1_00-설계서,원가계산,내역서" xfId="2026" xr:uid="{00000000-0005-0000-0000-0000E9070000}"/>
    <cellStyle name="1_tree_수량산출_총괄내역0518_구로리설계예산서1029_진해자은수량산출서(단지내)" xfId="2027" xr:uid="{00000000-0005-0000-0000-0000EA070000}"/>
    <cellStyle name="1_tree_수량산출_총괄내역0518_구로리설계예산서1029_진해자은수량산출서(단지내)_00-설계서,원가계산,내역서" xfId="2028" xr:uid="{00000000-0005-0000-0000-0000EB070000}"/>
    <cellStyle name="1_tree_수량산출_총괄내역0518_구로리설계예산서1029_진해자은수량산출서(단지내)_기초산출표-56-128-최종" xfId="2029" xr:uid="{00000000-0005-0000-0000-0000EC070000}"/>
    <cellStyle name="1_tree_수량산출_총괄내역0518_구로리설계예산서1029_진해자은수량산출서(단지내)_기초산출표-56-128-최종_00-설계서,원가계산,내역서" xfId="2030" xr:uid="{00000000-0005-0000-0000-0000ED070000}"/>
    <cellStyle name="1_tree_수량산출_총괄내역0518_구로리설계예산서1029_진해자은수량산출서(단지내)_기초산출표-56-128-최종_설계서-1" xfId="2031" xr:uid="{00000000-0005-0000-0000-0000EE070000}"/>
    <cellStyle name="1_tree_수량산출_총괄내역0518_구로리설계예산서1029_진해자은수량산출서(단지내)_기초산출표-56-128-최종_설계서-1_00-설계서,원가계산,내역서" xfId="2032" xr:uid="{00000000-0005-0000-0000-0000EF070000}"/>
    <cellStyle name="1_tree_수량산출_총괄내역0518_구로리설계예산서1029_진해자은수량산출서(단지내)_설계서-1" xfId="2033" xr:uid="{00000000-0005-0000-0000-0000F0070000}"/>
    <cellStyle name="1_tree_수량산출_총괄내역0518_구로리설계예산서1029_진해자은수량산출서(단지내)_설계서-1_00-설계서,원가계산,내역서" xfId="2034" xr:uid="{00000000-0005-0000-0000-0000F1070000}"/>
    <cellStyle name="1_tree_수량산출_총괄내역0518_구로리설계예산서1029_진해자은수량산출서(단지내)_취합" xfId="2035" xr:uid="{00000000-0005-0000-0000-0000F2070000}"/>
    <cellStyle name="1_tree_수량산출_총괄내역0518_구로리설계예산서1029_진해자은수량산출서(단지내)_취합_00-설계서,원가계산,내역서" xfId="2036" xr:uid="{00000000-0005-0000-0000-0000F3070000}"/>
    <cellStyle name="1_tree_수량산출_총괄내역0518_구로리설계예산서1029_진해자은수량산출서(단지내)_취합_설계서-1" xfId="2037" xr:uid="{00000000-0005-0000-0000-0000F4070000}"/>
    <cellStyle name="1_tree_수량산출_총괄내역0518_구로리설계예산서1029_진해자은수량산출서(단지내)_취합_설계서-1_00-설계서,원가계산,내역서" xfId="2038" xr:uid="{00000000-0005-0000-0000-0000F5070000}"/>
    <cellStyle name="1_tree_수량산출_총괄내역0518_구로리설계예산서1118준공" xfId="2039" xr:uid="{00000000-0005-0000-0000-0000F6070000}"/>
    <cellStyle name="1_tree_수량산출_총괄내역0518_구로리설계예산서1118준공_00-설계서,원가계산,내역서" xfId="2040" xr:uid="{00000000-0005-0000-0000-0000F7070000}"/>
    <cellStyle name="1_tree_수량산출_총괄내역0518_구로리설계예산서1118준공_설계서-1" xfId="2041" xr:uid="{00000000-0005-0000-0000-0000F8070000}"/>
    <cellStyle name="1_tree_수량산출_총괄내역0518_구로리설계예산서1118준공_설계서-1_00-설계서,원가계산,내역서" xfId="2042" xr:uid="{00000000-0005-0000-0000-0000F9070000}"/>
    <cellStyle name="1_tree_수량산출_총괄내역0518_구로리설계예산서1118준공_진해자은수량산출서(단지내)" xfId="2043" xr:uid="{00000000-0005-0000-0000-0000FA070000}"/>
    <cellStyle name="1_tree_수량산출_총괄내역0518_구로리설계예산서1118준공_진해자은수량산출서(단지내)_00-설계서,원가계산,내역서" xfId="2044" xr:uid="{00000000-0005-0000-0000-0000FB070000}"/>
    <cellStyle name="1_tree_수량산출_총괄내역0518_구로리설계예산서1118준공_진해자은수량산출서(단지내)_기초산출표-56-128-최종" xfId="2045" xr:uid="{00000000-0005-0000-0000-0000FC070000}"/>
    <cellStyle name="1_tree_수량산출_총괄내역0518_구로리설계예산서1118준공_진해자은수량산출서(단지내)_기초산출표-56-128-최종_00-설계서,원가계산,내역서" xfId="2046" xr:uid="{00000000-0005-0000-0000-0000FD070000}"/>
    <cellStyle name="1_tree_수량산출_총괄내역0518_구로리설계예산서1118준공_진해자은수량산출서(단지내)_기초산출표-56-128-최종_설계서-1" xfId="2047" xr:uid="{00000000-0005-0000-0000-0000FE070000}"/>
    <cellStyle name="1_tree_수량산출_총괄내역0518_구로리설계예산서1118준공_진해자은수량산출서(단지내)_기초산출표-56-128-최종_설계서-1_00-설계서,원가계산,내역서" xfId="2048" xr:uid="{00000000-0005-0000-0000-0000FF070000}"/>
    <cellStyle name="1_tree_수량산출_총괄내역0518_구로리설계예산서1118준공_진해자은수량산출서(단지내)_설계서-1" xfId="2049" xr:uid="{00000000-0005-0000-0000-000000080000}"/>
    <cellStyle name="1_tree_수량산출_총괄내역0518_구로리설계예산서1118준공_진해자은수량산출서(단지내)_설계서-1_00-설계서,원가계산,내역서" xfId="2050" xr:uid="{00000000-0005-0000-0000-000001080000}"/>
    <cellStyle name="1_tree_수량산출_총괄내역0518_구로리설계예산서1118준공_진해자은수량산출서(단지내)_취합" xfId="2051" xr:uid="{00000000-0005-0000-0000-000002080000}"/>
    <cellStyle name="1_tree_수량산출_총괄내역0518_구로리설계예산서1118준공_진해자은수량산출서(단지내)_취합_00-설계서,원가계산,내역서" xfId="2052" xr:uid="{00000000-0005-0000-0000-000003080000}"/>
    <cellStyle name="1_tree_수량산출_총괄내역0518_구로리설계예산서1118준공_진해자은수량산출서(단지내)_취합_설계서-1" xfId="2053" xr:uid="{00000000-0005-0000-0000-000004080000}"/>
    <cellStyle name="1_tree_수량산출_총괄내역0518_구로리설계예산서1118준공_진해자은수량산출서(단지내)_취합_설계서-1_00-설계서,원가계산,내역서" xfId="2054" xr:uid="{00000000-0005-0000-0000-000005080000}"/>
    <cellStyle name="1_tree_수량산출_총괄내역0518_구로리설계예산서조경" xfId="2055" xr:uid="{00000000-0005-0000-0000-000006080000}"/>
    <cellStyle name="1_tree_수량산출_총괄내역0518_구로리설계예산서조경_00-설계서,원가계산,내역서" xfId="2056" xr:uid="{00000000-0005-0000-0000-000007080000}"/>
    <cellStyle name="1_tree_수량산출_총괄내역0518_구로리설계예산서조경_설계서-1" xfId="2057" xr:uid="{00000000-0005-0000-0000-000008080000}"/>
    <cellStyle name="1_tree_수량산출_총괄내역0518_구로리설계예산서조경_설계서-1_00-설계서,원가계산,내역서" xfId="2058" xr:uid="{00000000-0005-0000-0000-000009080000}"/>
    <cellStyle name="1_tree_수량산출_총괄내역0518_구로리설계예산서조경_진해자은수량산출서(단지내)" xfId="2059" xr:uid="{00000000-0005-0000-0000-00000A080000}"/>
    <cellStyle name="1_tree_수량산출_총괄내역0518_구로리설계예산서조경_진해자은수량산출서(단지내)_00-설계서,원가계산,내역서" xfId="2060" xr:uid="{00000000-0005-0000-0000-00000B080000}"/>
    <cellStyle name="1_tree_수량산출_총괄내역0518_구로리설계예산서조경_진해자은수량산출서(단지내)_기초산출표-56-128-최종" xfId="2061" xr:uid="{00000000-0005-0000-0000-00000C080000}"/>
    <cellStyle name="1_tree_수량산출_총괄내역0518_구로리설계예산서조경_진해자은수량산출서(단지내)_기초산출표-56-128-최종_00-설계서,원가계산,내역서" xfId="2062" xr:uid="{00000000-0005-0000-0000-00000D080000}"/>
    <cellStyle name="1_tree_수량산출_총괄내역0518_구로리설계예산서조경_진해자은수량산출서(단지내)_기초산출표-56-128-최종_설계서-1" xfId="2063" xr:uid="{00000000-0005-0000-0000-00000E080000}"/>
    <cellStyle name="1_tree_수량산출_총괄내역0518_구로리설계예산서조경_진해자은수량산출서(단지내)_기초산출표-56-128-최종_설계서-1_00-설계서,원가계산,내역서" xfId="2064" xr:uid="{00000000-0005-0000-0000-00000F080000}"/>
    <cellStyle name="1_tree_수량산출_총괄내역0518_구로리설계예산서조경_진해자은수량산출서(단지내)_설계서-1" xfId="2065" xr:uid="{00000000-0005-0000-0000-000010080000}"/>
    <cellStyle name="1_tree_수량산출_총괄내역0518_구로리설계예산서조경_진해자은수량산출서(단지내)_설계서-1_00-설계서,원가계산,내역서" xfId="2066" xr:uid="{00000000-0005-0000-0000-000011080000}"/>
    <cellStyle name="1_tree_수량산출_총괄내역0518_구로리설계예산서조경_진해자은수량산출서(단지내)_취합" xfId="2067" xr:uid="{00000000-0005-0000-0000-000012080000}"/>
    <cellStyle name="1_tree_수량산출_총괄내역0518_구로리설계예산서조경_진해자은수량산출서(단지내)_취합_00-설계서,원가계산,내역서" xfId="2068" xr:uid="{00000000-0005-0000-0000-000013080000}"/>
    <cellStyle name="1_tree_수량산출_총괄내역0518_구로리설계예산서조경_진해자은수량산출서(단지내)_취합_설계서-1" xfId="2069" xr:uid="{00000000-0005-0000-0000-000014080000}"/>
    <cellStyle name="1_tree_수량산출_총괄내역0518_구로리설계예산서조경_진해자은수량산출서(단지내)_취합_설계서-1_00-설계서,원가계산,내역서" xfId="2070" xr:uid="{00000000-0005-0000-0000-000015080000}"/>
    <cellStyle name="1_tree_수량산출_총괄내역0518_구로리어린이공원예산서(조경)1125" xfId="2071" xr:uid="{00000000-0005-0000-0000-000016080000}"/>
    <cellStyle name="1_tree_수량산출_총괄내역0518_구로리어린이공원예산서(조경)1125_00-설계서,원가계산,내역서" xfId="2072" xr:uid="{00000000-0005-0000-0000-000017080000}"/>
    <cellStyle name="1_tree_수량산출_총괄내역0518_구로리어린이공원예산서(조경)1125_설계서-1" xfId="2073" xr:uid="{00000000-0005-0000-0000-000018080000}"/>
    <cellStyle name="1_tree_수량산출_총괄내역0518_구로리어린이공원예산서(조경)1125_설계서-1_00-설계서,원가계산,내역서" xfId="2074" xr:uid="{00000000-0005-0000-0000-000019080000}"/>
    <cellStyle name="1_tree_수량산출_총괄내역0518_구로리어린이공원예산서(조경)1125_진해자은수량산출서(단지내)" xfId="2075" xr:uid="{00000000-0005-0000-0000-00001A080000}"/>
    <cellStyle name="1_tree_수량산출_총괄내역0518_구로리어린이공원예산서(조경)1125_진해자은수량산출서(단지내)_00-설계서,원가계산,내역서" xfId="2076" xr:uid="{00000000-0005-0000-0000-00001B080000}"/>
    <cellStyle name="1_tree_수량산출_총괄내역0518_구로리어린이공원예산서(조경)1125_진해자은수량산출서(단지내)_기초산출표-56-128-최종" xfId="2077" xr:uid="{00000000-0005-0000-0000-00001C080000}"/>
    <cellStyle name="1_tree_수량산출_총괄내역0518_구로리어린이공원예산서(조경)1125_진해자은수량산출서(단지내)_기초산출표-56-128-최종_00-설계서,원가계산,내역서" xfId="2078" xr:uid="{00000000-0005-0000-0000-00001D080000}"/>
    <cellStyle name="1_tree_수량산출_총괄내역0518_구로리어린이공원예산서(조경)1125_진해자은수량산출서(단지내)_기초산출표-56-128-최종_설계서-1" xfId="2079" xr:uid="{00000000-0005-0000-0000-00001E080000}"/>
    <cellStyle name="1_tree_수량산출_총괄내역0518_구로리어린이공원예산서(조경)1125_진해자은수량산출서(단지내)_기초산출표-56-128-최종_설계서-1_00-설계서,원가계산,내역서" xfId="2080" xr:uid="{00000000-0005-0000-0000-00001F080000}"/>
    <cellStyle name="1_tree_수량산출_총괄내역0518_구로리어린이공원예산서(조경)1125_진해자은수량산출서(단지내)_설계서-1" xfId="2081" xr:uid="{00000000-0005-0000-0000-000020080000}"/>
    <cellStyle name="1_tree_수량산출_총괄내역0518_구로리어린이공원예산서(조경)1125_진해자은수량산출서(단지내)_설계서-1_00-설계서,원가계산,내역서" xfId="2082" xr:uid="{00000000-0005-0000-0000-000021080000}"/>
    <cellStyle name="1_tree_수량산출_총괄내역0518_구로리어린이공원예산서(조경)1125_진해자은수량산출서(단지내)_취합" xfId="2083" xr:uid="{00000000-0005-0000-0000-000022080000}"/>
    <cellStyle name="1_tree_수량산출_총괄내역0518_구로리어린이공원예산서(조경)1125_진해자은수량산출서(단지내)_취합_00-설계서,원가계산,내역서" xfId="2084" xr:uid="{00000000-0005-0000-0000-000023080000}"/>
    <cellStyle name="1_tree_수량산출_총괄내역0518_구로리어린이공원예산서(조경)1125_진해자은수량산출서(단지내)_취합_설계서-1" xfId="2085" xr:uid="{00000000-0005-0000-0000-000024080000}"/>
    <cellStyle name="1_tree_수량산출_총괄내역0518_구로리어린이공원예산서(조경)1125_진해자은수량산출서(단지내)_취합_설계서-1_00-설계서,원가계산,내역서" xfId="2086" xr:uid="{00000000-0005-0000-0000-000025080000}"/>
    <cellStyle name="1_tree_수량산출_총괄내역0518_내역서" xfId="2087" xr:uid="{00000000-0005-0000-0000-000026080000}"/>
    <cellStyle name="1_tree_수량산출_총괄내역0518_내역서_00-설계서,원가계산,내역서" xfId="2088" xr:uid="{00000000-0005-0000-0000-000027080000}"/>
    <cellStyle name="1_tree_수량산출_총괄내역0518_내역서_설계서-1" xfId="2089" xr:uid="{00000000-0005-0000-0000-000028080000}"/>
    <cellStyle name="1_tree_수량산출_총괄내역0518_내역서_설계서-1_00-설계서,원가계산,내역서" xfId="2090" xr:uid="{00000000-0005-0000-0000-000029080000}"/>
    <cellStyle name="1_tree_수량산출_총괄내역0518_내역서_진해자은수량산출서(단지내)" xfId="2091" xr:uid="{00000000-0005-0000-0000-00002A080000}"/>
    <cellStyle name="1_tree_수량산출_총괄내역0518_내역서_진해자은수량산출서(단지내)_00-설계서,원가계산,내역서" xfId="2092" xr:uid="{00000000-0005-0000-0000-00002B080000}"/>
    <cellStyle name="1_tree_수량산출_총괄내역0518_내역서_진해자은수량산출서(단지내)_기초산출표-56-128-최종" xfId="2093" xr:uid="{00000000-0005-0000-0000-00002C080000}"/>
    <cellStyle name="1_tree_수량산출_총괄내역0518_내역서_진해자은수량산출서(단지내)_기초산출표-56-128-최종_00-설계서,원가계산,내역서" xfId="2094" xr:uid="{00000000-0005-0000-0000-00002D080000}"/>
    <cellStyle name="1_tree_수량산출_총괄내역0518_내역서_진해자은수량산출서(단지내)_기초산출표-56-128-최종_설계서-1" xfId="2095" xr:uid="{00000000-0005-0000-0000-00002E080000}"/>
    <cellStyle name="1_tree_수량산출_총괄내역0518_내역서_진해자은수량산출서(단지내)_기초산출표-56-128-최종_설계서-1_00-설계서,원가계산,내역서" xfId="2096" xr:uid="{00000000-0005-0000-0000-00002F080000}"/>
    <cellStyle name="1_tree_수량산출_총괄내역0518_내역서_진해자은수량산출서(단지내)_설계서-1" xfId="2097" xr:uid="{00000000-0005-0000-0000-000030080000}"/>
    <cellStyle name="1_tree_수량산출_총괄내역0518_내역서_진해자은수량산출서(단지내)_설계서-1_00-설계서,원가계산,내역서" xfId="2098" xr:uid="{00000000-0005-0000-0000-000031080000}"/>
    <cellStyle name="1_tree_수량산출_총괄내역0518_내역서_진해자은수량산출서(단지내)_취합" xfId="2099" xr:uid="{00000000-0005-0000-0000-000032080000}"/>
    <cellStyle name="1_tree_수량산출_총괄내역0518_내역서_진해자은수량산출서(단지내)_취합_00-설계서,원가계산,내역서" xfId="2100" xr:uid="{00000000-0005-0000-0000-000033080000}"/>
    <cellStyle name="1_tree_수량산출_총괄내역0518_내역서_진해자은수량산출서(단지내)_취합_설계서-1" xfId="2101" xr:uid="{00000000-0005-0000-0000-000034080000}"/>
    <cellStyle name="1_tree_수량산출_총괄내역0518_내역서_진해자은수량산출서(단지내)_취합_설계서-1_00-설계서,원가계산,내역서" xfId="2102" xr:uid="{00000000-0005-0000-0000-000035080000}"/>
    <cellStyle name="1_tree_수량산출_총괄내역0518_노임단가표" xfId="2103" xr:uid="{00000000-0005-0000-0000-000036080000}"/>
    <cellStyle name="1_tree_수량산출_총괄내역0518_노임단가표_00-설계서,원가계산,내역서" xfId="2104" xr:uid="{00000000-0005-0000-0000-000037080000}"/>
    <cellStyle name="1_tree_수량산출_총괄내역0518_노임단가표_설계서-1" xfId="2105" xr:uid="{00000000-0005-0000-0000-000038080000}"/>
    <cellStyle name="1_tree_수량산출_총괄내역0518_노임단가표_설계서-1_00-설계서,원가계산,내역서" xfId="2106" xr:uid="{00000000-0005-0000-0000-000039080000}"/>
    <cellStyle name="1_tree_수량산출_총괄내역0518_노임단가표_진해자은수량산출서(단지내)" xfId="2107" xr:uid="{00000000-0005-0000-0000-00003A080000}"/>
    <cellStyle name="1_tree_수량산출_총괄내역0518_노임단가표_진해자은수량산출서(단지내)_00-설계서,원가계산,내역서" xfId="2108" xr:uid="{00000000-0005-0000-0000-00003B080000}"/>
    <cellStyle name="1_tree_수량산출_총괄내역0518_노임단가표_진해자은수량산출서(단지내)_기초산출표-56-128-최종" xfId="2109" xr:uid="{00000000-0005-0000-0000-00003C080000}"/>
    <cellStyle name="1_tree_수량산출_총괄내역0518_노임단가표_진해자은수량산출서(단지내)_기초산출표-56-128-최종_00-설계서,원가계산,내역서" xfId="2110" xr:uid="{00000000-0005-0000-0000-00003D080000}"/>
    <cellStyle name="1_tree_수량산출_총괄내역0518_노임단가표_진해자은수량산출서(단지내)_기초산출표-56-128-최종_설계서-1" xfId="2111" xr:uid="{00000000-0005-0000-0000-00003E080000}"/>
    <cellStyle name="1_tree_수량산출_총괄내역0518_노임단가표_진해자은수량산출서(단지내)_기초산출표-56-128-최종_설계서-1_00-설계서,원가계산,내역서" xfId="2112" xr:uid="{00000000-0005-0000-0000-00003F080000}"/>
    <cellStyle name="1_tree_수량산출_총괄내역0518_노임단가표_진해자은수량산출서(단지내)_설계서-1" xfId="2113" xr:uid="{00000000-0005-0000-0000-000040080000}"/>
    <cellStyle name="1_tree_수량산출_총괄내역0518_노임단가표_진해자은수량산출서(단지내)_설계서-1_00-설계서,원가계산,내역서" xfId="2114" xr:uid="{00000000-0005-0000-0000-000041080000}"/>
    <cellStyle name="1_tree_수량산출_총괄내역0518_노임단가표_진해자은수량산출서(단지내)_취합" xfId="2115" xr:uid="{00000000-0005-0000-0000-000042080000}"/>
    <cellStyle name="1_tree_수량산출_총괄내역0518_노임단가표_진해자은수량산출서(단지내)_취합_00-설계서,원가계산,내역서" xfId="2116" xr:uid="{00000000-0005-0000-0000-000043080000}"/>
    <cellStyle name="1_tree_수량산출_총괄내역0518_노임단가표_진해자은수량산출서(단지내)_취합_설계서-1" xfId="2117" xr:uid="{00000000-0005-0000-0000-000044080000}"/>
    <cellStyle name="1_tree_수량산출_총괄내역0518_노임단가표_진해자은수량산출서(단지내)_취합_설계서-1_00-설계서,원가계산,내역서" xfId="2118" xr:uid="{00000000-0005-0000-0000-000045080000}"/>
    <cellStyle name="1_tree_수량산출_총괄내역0518_설계서-1" xfId="2119" xr:uid="{00000000-0005-0000-0000-000046080000}"/>
    <cellStyle name="1_tree_수량산출_총괄내역0518_설계서-1_00-설계서,원가계산,내역서" xfId="2120" xr:uid="{00000000-0005-0000-0000-000047080000}"/>
    <cellStyle name="1_tree_수량산출_총괄내역0518_수도권매립지" xfId="2121" xr:uid="{00000000-0005-0000-0000-000048080000}"/>
    <cellStyle name="1_tree_수량산출_총괄내역0518_수도권매립지_00-설계서,원가계산,내역서" xfId="2122" xr:uid="{00000000-0005-0000-0000-000049080000}"/>
    <cellStyle name="1_tree_수량산출_총괄내역0518_수도권매립지_설계서-1" xfId="2123" xr:uid="{00000000-0005-0000-0000-00004A080000}"/>
    <cellStyle name="1_tree_수량산출_총괄내역0518_수도권매립지_설계서-1_00-설계서,원가계산,내역서" xfId="2124" xr:uid="{00000000-0005-0000-0000-00004B080000}"/>
    <cellStyle name="1_tree_수량산출_총괄내역0518_수도권매립지_진해자은수량산출서(단지내)" xfId="2125" xr:uid="{00000000-0005-0000-0000-00004C080000}"/>
    <cellStyle name="1_tree_수량산출_총괄내역0518_수도권매립지_진해자은수량산출서(단지내)_00-설계서,원가계산,내역서" xfId="2126" xr:uid="{00000000-0005-0000-0000-00004D080000}"/>
    <cellStyle name="1_tree_수량산출_총괄내역0518_수도권매립지_진해자은수량산출서(단지내)_기초산출표-56-128-최종" xfId="2127" xr:uid="{00000000-0005-0000-0000-00004E080000}"/>
    <cellStyle name="1_tree_수량산출_총괄내역0518_수도권매립지_진해자은수량산출서(단지내)_기초산출표-56-128-최종_00-설계서,원가계산,내역서" xfId="2128" xr:uid="{00000000-0005-0000-0000-00004F080000}"/>
    <cellStyle name="1_tree_수량산출_총괄내역0518_수도권매립지_진해자은수량산출서(단지내)_기초산출표-56-128-최종_설계서-1" xfId="2129" xr:uid="{00000000-0005-0000-0000-000050080000}"/>
    <cellStyle name="1_tree_수량산출_총괄내역0518_수도권매립지_진해자은수량산출서(단지내)_기초산출표-56-128-최종_설계서-1_00-설계서,원가계산,내역서" xfId="2130" xr:uid="{00000000-0005-0000-0000-000051080000}"/>
    <cellStyle name="1_tree_수량산출_총괄내역0518_수도권매립지_진해자은수량산출서(단지내)_설계서-1" xfId="2131" xr:uid="{00000000-0005-0000-0000-000052080000}"/>
    <cellStyle name="1_tree_수량산출_총괄내역0518_수도권매립지_진해자은수량산출서(단지내)_설계서-1_00-설계서,원가계산,내역서" xfId="2132" xr:uid="{00000000-0005-0000-0000-000053080000}"/>
    <cellStyle name="1_tree_수량산출_총괄내역0518_수도권매립지_진해자은수량산출서(단지내)_취합" xfId="2133" xr:uid="{00000000-0005-0000-0000-000054080000}"/>
    <cellStyle name="1_tree_수량산출_총괄내역0518_수도권매립지_진해자은수량산출서(단지내)_취합_00-설계서,원가계산,내역서" xfId="2134" xr:uid="{00000000-0005-0000-0000-000055080000}"/>
    <cellStyle name="1_tree_수량산출_총괄내역0518_수도권매립지_진해자은수량산출서(단지내)_취합_설계서-1" xfId="2135" xr:uid="{00000000-0005-0000-0000-000056080000}"/>
    <cellStyle name="1_tree_수량산출_총괄내역0518_수도권매립지_진해자은수량산출서(단지내)_취합_설계서-1_00-설계서,원가계산,내역서" xfId="2136" xr:uid="{00000000-0005-0000-0000-000057080000}"/>
    <cellStyle name="1_tree_수량산출_총괄내역0518_수도권매립지1004(발주용)" xfId="2137" xr:uid="{00000000-0005-0000-0000-000058080000}"/>
    <cellStyle name="1_tree_수량산출_총괄내역0518_수도권매립지1004(발주용)_00-설계서,원가계산,내역서" xfId="2138" xr:uid="{00000000-0005-0000-0000-000059080000}"/>
    <cellStyle name="1_tree_수량산출_총괄내역0518_수도권매립지1004(발주용)_설계서-1" xfId="2139" xr:uid="{00000000-0005-0000-0000-00005A080000}"/>
    <cellStyle name="1_tree_수량산출_총괄내역0518_수도권매립지1004(발주용)_설계서-1_00-설계서,원가계산,내역서" xfId="2140" xr:uid="{00000000-0005-0000-0000-00005B080000}"/>
    <cellStyle name="1_tree_수량산출_총괄내역0518_수도권매립지1004(발주용)_진해자은수량산출서(단지내)" xfId="2141" xr:uid="{00000000-0005-0000-0000-00005C080000}"/>
    <cellStyle name="1_tree_수량산출_총괄내역0518_수도권매립지1004(발주용)_진해자은수량산출서(단지내)_00-설계서,원가계산,내역서" xfId="2142" xr:uid="{00000000-0005-0000-0000-00005D080000}"/>
    <cellStyle name="1_tree_수량산출_총괄내역0518_수도권매립지1004(발주용)_진해자은수량산출서(단지내)_기초산출표-56-128-최종" xfId="2143" xr:uid="{00000000-0005-0000-0000-00005E080000}"/>
    <cellStyle name="1_tree_수량산출_총괄내역0518_수도권매립지1004(발주용)_진해자은수량산출서(단지내)_기초산출표-56-128-최종_00-설계서,원가계산,내역서" xfId="2144" xr:uid="{00000000-0005-0000-0000-00005F080000}"/>
    <cellStyle name="1_tree_수량산출_총괄내역0518_수도권매립지1004(발주용)_진해자은수량산출서(단지내)_기초산출표-56-128-최종_설계서-1" xfId="2145" xr:uid="{00000000-0005-0000-0000-000060080000}"/>
    <cellStyle name="1_tree_수량산출_총괄내역0518_수도권매립지1004(발주용)_진해자은수량산출서(단지내)_기초산출표-56-128-최종_설계서-1_00-설계서,원가계산,내역서" xfId="2146" xr:uid="{00000000-0005-0000-0000-000061080000}"/>
    <cellStyle name="1_tree_수량산출_총괄내역0518_수도권매립지1004(발주용)_진해자은수량산출서(단지내)_설계서-1" xfId="2147" xr:uid="{00000000-0005-0000-0000-000062080000}"/>
    <cellStyle name="1_tree_수량산출_총괄내역0518_수도권매립지1004(발주용)_진해자은수량산출서(단지내)_설계서-1_00-설계서,원가계산,내역서" xfId="2148" xr:uid="{00000000-0005-0000-0000-000063080000}"/>
    <cellStyle name="1_tree_수량산출_총괄내역0518_수도권매립지1004(발주용)_진해자은수량산출서(단지내)_취합" xfId="2149" xr:uid="{00000000-0005-0000-0000-000064080000}"/>
    <cellStyle name="1_tree_수량산출_총괄내역0518_수도권매립지1004(발주용)_진해자은수량산출서(단지내)_취합_00-설계서,원가계산,내역서" xfId="2150" xr:uid="{00000000-0005-0000-0000-000065080000}"/>
    <cellStyle name="1_tree_수량산출_총괄내역0518_수도권매립지1004(발주용)_진해자은수량산출서(단지내)_취합_설계서-1" xfId="2151" xr:uid="{00000000-0005-0000-0000-000066080000}"/>
    <cellStyle name="1_tree_수량산출_총괄내역0518_수도권매립지1004(발주용)_진해자은수량산출서(단지내)_취합_설계서-1_00-설계서,원가계산,내역서" xfId="2152" xr:uid="{00000000-0005-0000-0000-000067080000}"/>
    <cellStyle name="1_tree_수량산출_총괄내역0518_일신건영설계예산서(0211)" xfId="2153" xr:uid="{00000000-0005-0000-0000-000068080000}"/>
    <cellStyle name="1_tree_수량산출_총괄내역0518_일신건영설계예산서(0211)_00-설계서,원가계산,내역서" xfId="2154" xr:uid="{00000000-0005-0000-0000-000069080000}"/>
    <cellStyle name="1_tree_수량산출_총괄내역0518_일신건영설계예산서(0211)_설계서-1" xfId="2155" xr:uid="{00000000-0005-0000-0000-00006A080000}"/>
    <cellStyle name="1_tree_수량산출_총괄내역0518_일신건영설계예산서(0211)_설계서-1_00-설계서,원가계산,내역서" xfId="2156" xr:uid="{00000000-0005-0000-0000-00006B080000}"/>
    <cellStyle name="1_tree_수량산출_총괄내역0518_일신건영설계예산서(0211)_진해자은수량산출서(단지내)" xfId="2157" xr:uid="{00000000-0005-0000-0000-00006C080000}"/>
    <cellStyle name="1_tree_수량산출_총괄내역0518_일신건영설계예산서(0211)_진해자은수량산출서(단지내)_00-설계서,원가계산,내역서" xfId="2158" xr:uid="{00000000-0005-0000-0000-00006D080000}"/>
    <cellStyle name="1_tree_수량산출_총괄내역0518_일신건영설계예산서(0211)_진해자은수량산출서(단지내)_기초산출표-56-128-최종" xfId="2159" xr:uid="{00000000-0005-0000-0000-00006E080000}"/>
    <cellStyle name="1_tree_수량산출_총괄내역0518_일신건영설계예산서(0211)_진해자은수량산출서(단지내)_기초산출표-56-128-최종_00-설계서,원가계산,내역서" xfId="2160" xr:uid="{00000000-0005-0000-0000-00006F080000}"/>
    <cellStyle name="1_tree_수량산출_총괄내역0518_일신건영설계예산서(0211)_진해자은수량산출서(단지내)_기초산출표-56-128-최종_설계서-1" xfId="2161" xr:uid="{00000000-0005-0000-0000-000070080000}"/>
    <cellStyle name="1_tree_수량산출_총괄내역0518_일신건영설계예산서(0211)_진해자은수량산출서(단지내)_기초산출표-56-128-최종_설계서-1_00-설계서,원가계산,내역서" xfId="2162" xr:uid="{00000000-0005-0000-0000-000071080000}"/>
    <cellStyle name="1_tree_수량산출_총괄내역0518_일신건영설계예산서(0211)_진해자은수량산출서(단지내)_설계서-1" xfId="2163" xr:uid="{00000000-0005-0000-0000-000072080000}"/>
    <cellStyle name="1_tree_수량산출_총괄내역0518_일신건영설계예산서(0211)_진해자은수량산출서(단지내)_설계서-1_00-설계서,원가계산,내역서" xfId="2164" xr:uid="{00000000-0005-0000-0000-000073080000}"/>
    <cellStyle name="1_tree_수량산출_총괄내역0518_일신건영설계예산서(0211)_진해자은수량산출서(단지내)_취합" xfId="2165" xr:uid="{00000000-0005-0000-0000-000074080000}"/>
    <cellStyle name="1_tree_수량산출_총괄내역0518_일신건영설계예산서(0211)_진해자은수량산출서(단지내)_취합_00-설계서,원가계산,내역서" xfId="2166" xr:uid="{00000000-0005-0000-0000-000075080000}"/>
    <cellStyle name="1_tree_수량산출_총괄내역0518_일신건영설계예산서(0211)_진해자은수량산출서(단지내)_취합_설계서-1" xfId="2167" xr:uid="{00000000-0005-0000-0000-000076080000}"/>
    <cellStyle name="1_tree_수량산출_총괄내역0518_일신건영설계예산서(0211)_진해자은수량산출서(단지내)_취합_설계서-1_00-설계서,원가계산,내역서" xfId="2168" xr:uid="{00000000-0005-0000-0000-000077080000}"/>
    <cellStyle name="1_tree_수량산출_총괄내역0518_일위대가" xfId="2169" xr:uid="{00000000-0005-0000-0000-000078080000}"/>
    <cellStyle name="1_tree_수량산출_총괄내역0518_일위대가_00-설계서,원가계산,내역서" xfId="2170" xr:uid="{00000000-0005-0000-0000-000079080000}"/>
    <cellStyle name="1_tree_수량산출_총괄내역0518_일위대가_설계서-1" xfId="2171" xr:uid="{00000000-0005-0000-0000-00007A080000}"/>
    <cellStyle name="1_tree_수량산출_총괄내역0518_일위대가_설계서-1_00-설계서,원가계산,내역서" xfId="2172" xr:uid="{00000000-0005-0000-0000-00007B080000}"/>
    <cellStyle name="1_tree_수량산출_총괄내역0518_일위대가_진해자은수량산출서(단지내)" xfId="2173" xr:uid="{00000000-0005-0000-0000-00007C080000}"/>
    <cellStyle name="1_tree_수량산출_총괄내역0518_일위대가_진해자은수량산출서(단지내)_00-설계서,원가계산,내역서" xfId="2174" xr:uid="{00000000-0005-0000-0000-00007D080000}"/>
    <cellStyle name="1_tree_수량산출_총괄내역0518_일위대가_진해자은수량산출서(단지내)_기초산출표-56-128-최종" xfId="2175" xr:uid="{00000000-0005-0000-0000-00007E080000}"/>
    <cellStyle name="1_tree_수량산출_총괄내역0518_일위대가_진해자은수량산출서(단지내)_기초산출표-56-128-최종_00-설계서,원가계산,내역서" xfId="2176" xr:uid="{00000000-0005-0000-0000-00007F080000}"/>
    <cellStyle name="1_tree_수량산출_총괄내역0518_일위대가_진해자은수량산출서(단지내)_기초산출표-56-128-최종_설계서-1" xfId="2177" xr:uid="{00000000-0005-0000-0000-000080080000}"/>
    <cellStyle name="1_tree_수량산출_총괄내역0518_일위대가_진해자은수량산출서(단지내)_기초산출표-56-128-최종_설계서-1_00-설계서,원가계산,내역서" xfId="2178" xr:uid="{00000000-0005-0000-0000-000081080000}"/>
    <cellStyle name="1_tree_수량산출_총괄내역0518_일위대가_진해자은수량산출서(단지내)_설계서-1" xfId="2179" xr:uid="{00000000-0005-0000-0000-000082080000}"/>
    <cellStyle name="1_tree_수량산출_총괄내역0518_일위대가_진해자은수량산출서(단지내)_설계서-1_00-설계서,원가계산,내역서" xfId="2180" xr:uid="{00000000-0005-0000-0000-000083080000}"/>
    <cellStyle name="1_tree_수량산출_총괄내역0518_일위대가_진해자은수량산출서(단지내)_취합" xfId="2181" xr:uid="{00000000-0005-0000-0000-000084080000}"/>
    <cellStyle name="1_tree_수량산출_총괄내역0518_일위대가_진해자은수량산출서(단지내)_취합_00-설계서,원가계산,내역서" xfId="2182" xr:uid="{00000000-0005-0000-0000-000085080000}"/>
    <cellStyle name="1_tree_수량산출_총괄내역0518_일위대가_진해자은수량산출서(단지내)_취합_설계서-1" xfId="2183" xr:uid="{00000000-0005-0000-0000-000086080000}"/>
    <cellStyle name="1_tree_수량산출_총괄내역0518_일위대가_진해자은수량산출서(단지내)_취합_설계서-1_00-설계서,원가계산,내역서" xfId="2184" xr:uid="{00000000-0005-0000-0000-000087080000}"/>
    <cellStyle name="1_tree_수량산출_총괄내역0518_자재단가표" xfId="2185" xr:uid="{00000000-0005-0000-0000-000088080000}"/>
    <cellStyle name="1_tree_수량산출_총괄내역0518_자재단가표_00-설계서,원가계산,내역서" xfId="2186" xr:uid="{00000000-0005-0000-0000-000089080000}"/>
    <cellStyle name="1_tree_수량산출_총괄내역0518_자재단가표_설계서-1" xfId="2187" xr:uid="{00000000-0005-0000-0000-00008A080000}"/>
    <cellStyle name="1_tree_수량산출_총괄내역0518_자재단가표_설계서-1_00-설계서,원가계산,내역서" xfId="2188" xr:uid="{00000000-0005-0000-0000-00008B080000}"/>
    <cellStyle name="1_tree_수량산출_총괄내역0518_자재단가표_진해자은수량산출서(단지내)" xfId="2189" xr:uid="{00000000-0005-0000-0000-00008C080000}"/>
    <cellStyle name="1_tree_수량산출_총괄내역0518_자재단가표_진해자은수량산출서(단지내)_00-설계서,원가계산,내역서" xfId="2190" xr:uid="{00000000-0005-0000-0000-00008D080000}"/>
    <cellStyle name="1_tree_수량산출_총괄내역0518_자재단가표_진해자은수량산출서(단지내)_기초산출표-56-128-최종" xfId="2191" xr:uid="{00000000-0005-0000-0000-00008E080000}"/>
    <cellStyle name="1_tree_수량산출_총괄내역0518_자재단가표_진해자은수량산출서(단지내)_기초산출표-56-128-최종_00-설계서,원가계산,내역서" xfId="2192" xr:uid="{00000000-0005-0000-0000-00008F080000}"/>
    <cellStyle name="1_tree_수량산출_총괄내역0518_자재단가표_진해자은수량산출서(단지내)_기초산출표-56-128-최종_설계서-1" xfId="2193" xr:uid="{00000000-0005-0000-0000-000090080000}"/>
    <cellStyle name="1_tree_수량산출_총괄내역0518_자재단가표_진해자은수량산출서(단지내)_기초산출표-56-128-최종_설계서-1_00-설계서,원가계산,내역서" xfId="2194" xr:uid="{00000000-0005-0000-0000-000091080000}"/>
    <cellStyle name="1_tree_수량산출_총괄내역0518_자재단가표_진해자은수량산출서(단지내)_설계서-1" xfId="2195" xr:uid="{00000000-0005-0000-0000-000092080000}"/>
    <cellStyle name="1_tree_수량산출_총괄내역0518_자재단가표_진해자은수량산출서(단지내)_설계서-1_00-설계서,원가계산,내역서" xfId="2196" xr:uid="{00000000-0005-0000-0000-000093080000}"/>
    <cellStyle name="1_tree_수량산출_총괄내역0518_자재단가표_진해자은수량산출서(단지내)_취합" xfId="2197" xr:uid="{00000000-0005-0000-0000-000094080000}"/>
    <cellStyle name="1_tree_수량산출_총괄내역0518_자재단가표_진해자은수량산출서(단지내)_취합_00-설계서,원가계산,내역서" xfId="2198" xr:uid="{00000000-0005-0000-0000-000095080000}"/>
    <cellStyle name="1_tree_수량산출_총괄내역0518_자재단가표_진해자은수량산출서(단지내)_취합_설계서-1" xfId="2199" xr:uid="{00000000-0005-0000-0000-000096080000}"/>
    <cellStyle name="1_tree_수량산출_총괄내역0518_자재단가표_진해자은수량산출서(단지내)_취합_설계서-1_00-설계서,원가계산,내역서" xfId="2200" xr:uid="{00000000-0005-0000-0000-000097080000}"/>
    <cellStyle name="1_tree_수량산출_총괄내역0518_장안초등학교내역0814" xfId="2201" xr:uid="{00000000-0005-0000-0000-000098080000}"/>
    <cellStyle name="1_tree_수량산출_총괄내역0518_장안초등학교내역0814_00-설계서,원가계산,내역서" xfId="2202" xr:uid="{00000000-0005-0000-0000-000099080000}"/>
    <cellStyle name="1_tree_수량산출_총괄내역0518_장안초등학교내역0814_설계서-1" xfId="2203" xr:uid="{00000000-0005-0000-0000-00009A080000}"/>
    <cellStyle name="1_tree_수량산출_총괄내역0518_장안초등학교내역0814_설계서-1_00-설계서,원가계산,내역서" xfId="2204" xr:uid="{00000000-0005-0000-0000-00009B080000}"/>
    <cellStyle name="1_tree_수량산출_총괄내역0518_장안초등학교내역0814_진해자은수량산출서(단지내)" xfId="2205" xr:uid="{00000000-0005-0000-0000-00009C080000}"/>
    <cellStyle name="1_tree_수량산출_총괄내역0518_장안초등학교내역0814_진해자은수량산출서(단지내)_00-설계서,원가계산,내역서" xfId="2206" xr:uid="{00000000-0005-0000-0000-00009D080000}"/>
    <cellStyle name="1_tree_수량산출_총괄내역0518_장안초등학교내역0814_진해자은수량산출서(단지내)_기초산출표-56-128-최종" xfId="2207" xr:uid="{00000000-0005-0000-0000-00009E080000}"/>
    <cellStyle name="1_tree_수량산출_총괄내역0518_장안초등학교내역0814_진해자은수량산출서(단지내)_기초산출표-56-128-최종_00-설계서,원가계산,내역서" xfId="2208" xr:uid="{00000000-0005-0000-0000-00009F080000}"/>
    <cellStyle name="1_tree_수량산출_총괄내역0518_장안초등학교내역0814_진해자은수량산출서(단지내)_기초산출표-56-128-최종_설계서-1" xfId="2209" xr:uid="{00000000-0005-0000-0000-0000A0080000}"/>
    <cellStyle name="1_tree_수량산출_총괄내역0518_장안초등학교내역0814_진해자은수량산출서(단지내)_기초산출표-56-128-최종_설계서-1_00-설계서,원가계산,내역서" xfId="2210" xr:uid="{00000000-0005-0000-0000-0000A1080000}"/>
    <cellStyle name="1_tree_수량산출_총괄내역0518_장안초등학교내역0814_진해자은수량산출서(단지내)_설계서-1" xfId="2211" xr:uid="{00000000-0005-0000-0000-0000A2080000}"/>
    <cellStyle name="1_tree_수량산출_총괄내역0518_장안초등학교내역0814_진해자은수량산출서(단지내)_설계서-1_00-설계서,원가계산,내역서" xfId="2212" xr:uid="{00000000-0005-0000-0000-0000A3080000}"/>
    <cellStyle name="1_tree_수량산출_총괄내역0518_장안초등학교내역0814_진해자은수량산출서(단지내)_취합" xfId="2213" xr:uid="{00000000-0005-0000-0000-0000A4080000}"/>
    <cellStyle name="1_tree_수량산출_총괄내역0518_장안초등학교내역0814_진해자은수량산출서(단지내)_취합_00-설계서,원가계산,내역서" xfId="2214" xr:uid="{00000000-0005-0000-0000-0000A5080000}"/>
    <cellStyle name="1_tree_수량산출_총괄내역0518_장안초등학교내역0814_진해자은수량산출서(단지내)_취합_설계서-1" xfId="2215" xr:uid="{00000000-0005-0000-0000-0000A6080000}"/>
    <cellStyle name="1_tree_수량산출_총괄내역0518_장안초등학교내역0814_진해자은수량산출서(단지내)_취합_설계서-1_00-설계서,원가계산,내역서" xfId="2216" xr:uid="{00000000-0005-0000-0000-0000A7080000}"/>
    <cellStyle name="1_tree_수량산출_총괄내역0518_진해자은수량산출서(단지내)" xfId="2217" xr:uid="{00000000-0005-0000-0000-0000A8080000}"/>
    <cellStyle name="1_tree_수량산출_총괄내역0518_진해자은수량산출서(단지내)_00-설계서,원가계산,내역서" xfId="2218" xr:uid="{00000000-0005-0000-0000-0000A9080000}"/>
    <cellStyle name="1_tree_수량산출_총괄내역0518_진해자은수량산출서(단지내)_기초산출표-56-128-최종" xfId="2219" xr:uid="{00000000-0005-0000-0000-0000AA080000}"/>
    <cellStyle name="1_tree_수량산출_총괄내역0518_진해자은수량산출서(단지내)_기초산출표-56-128-최종_00-설계서,원가계산,내역서" xfId="2220" xr:uid="{00000000-0005-0000-0000-0000AB080000}"/>
    <cellStyle name="1_tree_수량산출_총괄내역0518_진해자은수량산출서(단지내)_기초산출표-56-128-최종_설계서-1" xfId="2221" xr:uid="{00000000-0005-0000-0000-0000AC080000}"/>
    <cellStyle name="1_tree_수량산출_총괄내역0518_진해자은수량산출서(단지내)_기초산출표-56-128-최종_설계서-1_00-설계서,원가계산,내역서" xfId="2222" xr:uid="{00000000-0005-0000-0000-0000AD080000}"/>
    <cellStyle name="1_tree_수량산출_총괄내역0518_진해자은수량산출서(단지내)_설계서-1" xfId="2223" xr:uid="{00000000-0005-0000-0000-0000AE080000}"/>
    <cellStyle name="1_tree_수량산출_총괄내역0518_진해자은수량산출서(단지내)_설계서-1_00-설계서,원가계산,내역서" xfId="2224" xr:uid="{00000000-0005-0000-0000-0000AF080000}"/>
    <cellStyle name="1_tree_수량산출_총괄내역0518_진해자은수량산출서(단지내)_취합" xfId="2225" xr:uid="{00000000-0005-0000-0000-0000B0080000}"/>
    <cellStyle name="1_tree_수량산출_총괄내역0518_진해자은수량산출서(단지내)_취합_00-설계서,원가계산,내역서" xfId="2226" xr:uid="{00000000-0005-0000-0000-0000B1080000}"/>
    <cellStyle name="1_tree_수량산출_총괄내역0518_진해자은수량산출서(단지내)_취합_설계서-1" xfId="2227" xr:uid="{00000000-0005-0000-0000-0000B2080000}"/>
    <cellStyle name="1_tree_수량산출_총괄내역0518_진해자은수량산출서(단지내)_취합_설계서-1_00-설계서,원가계산,내역서" xfId="2228" xr:uid="{00000000-0005-0000-0000-0000B3080000}"/>
    <cellStyle name="1_tree_수량산출_현충묘지-예산서(조경)" xfId="2229" xr:uid="{00000000-0005-0000-0000-0000B4080000}"/>
    <cellStyle name="1_tree_수량산출_현충묘지-예산서(조경)_00-설계서,원가계산,내역서" xfId="2230" xr:uid="{00000000-0005-0000-0000-0000B5080000}"/>
    <cellStyle name="1_tree_수량산출_현충묘지-예산서(조경)_목동내역" xfId="2231" xr:uid="{00000000-0005-0000-0000-0000B6080000}"/>
    <cellStyle name="1_tree_수량산출_현충묘지-예산서(조경)_목동내역_00-설계서,원가계산,내역서" xfId="2232" xr:uid="{00000000-0005-0000-0000-0000B7080000}"/>
    <cellStyle name="1_tree_수량산출_현충묘지-예산서(조경)_목동내역_폐기물집계" xfId="2233" xr:uid="{00000000-0005-0000-0000-0000B8080000}"/>
    <cellStyle name="1_tree_수량산출_현충묘지-예산서(조경)_목동내역_폐기물집계_00-설계서,원가계산,내역서" xfId="2234" xr:uid="{00000000-0005-0000-0000-0000B9080000}"/>
    <cellStyle name="1_tree_수량산출_현충묘지-예산서(조경)_예산서-엑셀변환양식100" xfId="2235" xr:uid="{00000000-0005-0000-0000-0000BA080000}"/>
    <cellStyle name="1_tree_수량산출_현충묘지-예산서(조경)_예산서-엑셀변환양식100_00-설계서,원가계산,내역서" xfId="2236" xr:uid="{00000000-0005-0000-0000-0000BB080000}"/>
    <cellStyle name="1_tree_수량산출_현충묘지-예산서(조경)_예산서-엑셀변환양식100_목동내역" xfId="2237" xr:uid="{00000000-0005-0000-0000-0000BC080000}"/>
    <cellStyle name="1_tree_수량산출_현충묘지-예산서(조경)_예산서-엑셀변환양식100_목동내역_00-설계서,원가계산,내역서" xfId="2238" xr:uid="{00000000-0005-0000-0000-0000BD080000}"/>
    <cellStyle name="1_tree_수량산출_현충묘지-예산서(조경)_예산서-엑셀변환양식100_목동내역_폐기물집계" xfId="2239" xr:uid="{00000000-0005-0000-0000-0000BE080000}"/>
    <cellStyle name="1_tree_수량산출_현충묘지-예산서(조경)_예산서-엑셀변환양식100_목동내역_폐기물집계_00-설계서,원가계산,내역서" xfId="2240" xr:uid="{00000000-0005-0000-0000-0000BF080000}"/>
    <cellStyle name="1_tree_이문동구간중랑천변녹화사업(수량산출서, 071127)-최종" xfId="2241" xr:uid="{00000000-0005-0000-0000-0000C0080000}"/>
    <cellStyle name="1_tree_이문동구간중랑천변녹화사업(수량산출서, 071127)-최종_00-설계서,원가계산,내역서" xfId="2242" xr:uid="{00000000-0005-0000-0000-0000C1080000}"/>
    <cellStyle name="1_tree_진해자은수량산출서(단지내)" xfId="2243" xr:uid="{00000000-0005-0000-0000-0000C2080000}"/>
    <cellStyle name="1_tree_진해자은수량산출서(단지내)_00-설계서,원가계산,내역서" xfId="2244" xr:uid="{00000000-0005-0000-0000-0000C3080000}"/>
    <cellStyle name="1_tree_진해자은수량산출서(단지내)_기초산출표-56-128-최종" xfId="2245" xr:uid="{00000000-0005-0000-0000-0000C4080000}"/>
    <cellStyle name="1_tree_진해자은수량산출서(단지내)_기초산출표-56-128-최종_00-설계서,원가계산,내역서" xfId="2246" xr:uid="{00000000-0005-0000-0000-0000C5080000}"/>
    <cellStyle name="1_tree_진해자은수량산출서(단지내)_기초산출표-56-128-최종_설계서-1" xfId="2247" xr:uid="{00000000-0005-0000-0000-0000C6080000}"/>
    <cellStyle name="1_tree_진해자은수량산출서(단지내)_기초산출표-56-128-최종_설계서-1_00-설계서,원가계산,내역서" xfId="2248" xr:uid="{00000000-0005-0000-0000-0000C7080000}"/>
    <cellStyle name="1_tree_진해자은수량산출서(단지내)_설계서-1" xfId="2249" xr:uid="{00000000-0005-0000-0000-0000C8080000}"/>
    <cellStyle name="1_tree_진해자은수량산출서(단지내)_설계서-1_00-설계서,원가계산,내역서" xfId="2250" xr:uid="{00000000-0005-0000-0000-0000C9080000}"/>
    <cellStyle name="1_tree_진해자은수량산출서(단지내)_취합" xfId="2251" xr:uid="{00000000-0005-0000-0000-0000CA080000}"/>
    <cellStyle name="1_tree_진해자은수량산출서(단지내)_취합_00-설계서,원가계산,내역서" xfId="2252" xr:uid="{00000000-0005-0000-0000-0000CB080000}"/>
    <cellStyle name="1_tree_진해자은수량산출서(단지내)_취합_설계서-1" xfId="2253" xr:uid="{00000000-0005-0000-0000-0000CC080000}"/>
    <cellStyle name="1_tree_진해자은수량산출서(단지내)_취합_설계서-1_00-설계서,원가계산,내역서" xfId="2254" xr:uid="{00000000-0005-0000-0000-0000CD080000}"/>
    <cellStyle name="1_tree_총괄내역0518" xfId="2255" xr:uid="{00000000-0005-0000-0000-0000CE080000}"/>
    <cellStyle name="1_tree_총괄내역0518_00-설계서,원가계산,내역서" xfId="2256" xr:uid="{00000000-0005-0000-0000-0000CF080000}"/>
    <cellStyle name="1_tree_총괄내역0518_구로리설계예산서1029" xfId="2257" xr:uid="{00000000-0005-0000-0000-0000D0080000}"/>
    <cellStyle name="1_tree_총괄내역0518_구로리설계예산서1029_00-설계서,원가계산,내역서" xfId="2258" xr:uid="{00000000-0005-0000-0000-0000D1080000}"/>
    <cellStyle name="1_tree_총괄내역0518_구로리설계예산서1029_설계서-1" xfId="2259" xr:uid="{00000000-0005-0000-0000-0000D2080000}"/>
    <cellStyle name="1_tree_총괄내역0518_구로리설계예산서1029_설계서-1_00-설계서,원가계산,내역서" xfId="2260" xr:uid="{00000000-0005-0000-0000-0000D3080000}"/>
    <cellStyle name="1_tree_총괄내역0518_구로리설계예산서1029_진해자은수량산출서(단지내)" xfId="2261" xr:uid="{00000000-0005-0000-0000-0000D4080000}"/>
    <cellStyle name="1_tree_총괄내역0518_구로리설계예산서1029_진해자은수량산출서(단지내)_00-설계서,원가계산,내역서" xfId="2262" xr:uid="{00000000-0005-0000-0000-0000D5080000}"/>
    <cellStyle name="1_tree_총괄내역0518_구로리설계예산서1029_진해자은수량산출서(단지내)_기초산출표-56-128-최종" xfId="2263" xr:uid="{00000000-0005-0000-0000-0000D6080000}"/>
    <cellStyle name="1_tree_총괄내역0518_구로리설계예산서1029_진해자은수량산출서(단지내)_기초산출표-56-128-최종_00-설계서,원가계산,내역서" xfId="2264" xr:uid="{00000000-0005-0000-0000-0000D7080000}"/>
    <cellStyle name="1_tree_총괄내역0518_구로리설계예산서1029_진해자은수량산출서(단지내)_기초산출표-56-128-최종_설계서-1" xfId="2265" xr:uid="{00000000-0005-0000-0000-0000D8080000}"/>
    <cellStyle name="1_tree_총괄내역0518_구로리설계예산서1029_진해자은수량산출서(단지내)_기초산출표-56-128-최종_설계서-1_00-설계서,원가계산,내역서" xfId="2266" xr:uid="{00000000-0005-0000-0000-0000D9080000}"/>
    <cellStyle name="1_tree_총괄내역0518_구로리설계예산서1029_진해자은수량산출서(단지내)_설계서-1" xfId="2267" xr:uid="{00000000-0005-0000-0000-0000DA080000}"/>
    <cellStyle name="1_tree_총괄내역0518_구로리설계예산서1029_진해자은수량산출서(단지내)_설계서-1_00-설계서,원가계산,내역서" xfId="2268" xr:uid="{00000000-0005-0000-0000-0000DB080000}"/>
    <cellStyle name="1_tree_총괄내역0518_구로리설계예산서1029_진해자은수량산출서(단지내)_취합" xfId="2269" xr:uid="{00000000-0005-0000-0000-0000DC080000}"/>
    <cellStyle name="1_tree_총괄내역0518_구로리설계예산서1029_진해자은수량산출서(단지내)_취합_00-설계서,원가계산,내역서" xfId="2270" xr:uid="{00000000-0005-0000-0000-0000DD080000}"/>
    <cellStyle name="1_tree_총괄내역0518_구로리설계예산서1029_진해자은수량산출서(단지내)_취합_설계서-1" xfId="2271" xr:uid="{00000000-0005-0000-0000-0000DE080000}"/>
    <cellStyle name="1_tree_총괄내역0518_구로리설계예산서1029_진해자은수량산출서(단지내)_취합_설계서-1_00-설계서,원가계산,내역서" xfId="2272" xr:uid="{00000000-0005-0000-0000-0000DF080000}"/>
    <cellStyle name="1_tree_총괄내역0518_구로리설계예산서1118준공" xfId="2273" xr:uid="{00000000-0005-0000-0000-0000E0080000}"/>
    <cellStyle name="1_tree_총괄내역0518_구로리설계예산서1118준공_00-설계서,원가계산,내역서" xfId="2274" xr:uid="{00000000-0005-0000-0000-0000E1080000}"/>
    <cellStyle name="1_tree_총괄내역0518_구로리설계예산서1118준공_설계서-1" xfId="2275" xr:uid="{00000000-0005-0000-0000-0000E2080000}"/>
    <cellStyle name="1_tree_총괄내역0518_구로리설계예산서1118준공_설계서-1_00-설계서,원가계산,내역서" xfId="2276" xr:uid="{00000000-0005-0000-0000-0000E3080000}"/>
    <cellStyle name="1_tree_총괄내역0518_구로리설계예산서1118준공_진해자은수량산출서(단지내)" xfId="2277" xr:uid="{00000000-0005-0000-0000-0000E4080000}"/>
    <cellStyle name="1_tree_총괄내역0518_구로리설계예산서1118준공_진해자은수량산출서(단지내)_00-설계서,원가계산,내역서" xfId="2278" xr:uid="{00000000-0005-0000-0000-0000E5080000}"/>
    <cellStyle name="1_tree_총괄내역0518_구로리설계예산서1118준공_진해자은수량산출서(단지내)_기초산출표-56-128-최종" xfId="2279" xr:uid="{00000000-0005-0000-0000-0000E6080000}"/>
    <cellStyle name="1_tree_총괄내역0518_구로리설계예산서1118준공_진해자은수량산출서(단지내)_기초산출표-56-128-최종_00-설계서,원가계산,내역서" xfId="2280" xr:uid="{00000000-0005-0000-0000-0000E7080000}"/>
    <cellStyle name="1_tree_총괄내역0518_구로리설계예산서1118준공_진해자은수량산출서(단지내)_기초산출표-56-128-최종_설계서-1" xfId="2281" xr:uid="{00000000-0005-0000-0000-0000E8080000}"/>
    <cellStyle name="1_tree_총괄내역0518_구로리설계예산서1118준공_진해자은수량산출서(단지내)_기초산출표-56-128-최종_설계서-1_00-설계서,원가계산,내역서" xfId="2282" xr:uid="{00000000-0005-0000-0000-0000E9080000}"/>
    <cellStyle name="1_tree_총괄내역0518_구로리설계예산서1118준공_진해자은수량산출서(단지내)_설계서-1" xfId="2283" xr:uid="{00000000-0005-0000-0000-0000EA080000}"/>
    <cellStyle name="1_tree_총괄내역0518_구로리설계예산서1118준공_진해자은수량산출서(단지내)_설계서-1_00-설계서,원가계산,내역서" xfId="2284" xr:uid="{00000000-0005-0000-0000-0000EB080000}"/>
    <cellStyle name="1_tree_총괄내역0518_구로리설계예산서1118준공_진해자은수량산출서(단지내)_취합" xfId="2285" xr:uid="{00000000-0005-0000-0000-0000EC080000}"/>
    <cellStyle name="1_tree_총괄내역0518_구로리설계예산서1118준공_진해자은수량산출서(단지내)_취합_00-설계서,원가계산,내역서" xfId="2286" xr:uid="{00000000-0005-0000-0000-0000ED080000}"/>
    <cellStyle name="1_tree_총괄내역0518_구로리설계예산서1118준공_진해자은수량산출서(단지내)_취합_설계서-1" xfId="2287" xr:uid="{00000000-0005-0000-0000-0000EE080000}"/>
    <cellStyle name="1_tree_총괄내역0518_구로리설계예산서1118준공_진해자은수량산출서(단지내)_취합_설계서-1_00-설계서,원가계산,내역서" xfId="2288" xr:uid="{00000000-0005-0000-0000-0000EF080000}"/>
    <cellStyle name="1_tree_총괄내역0518_구로리설계예산서조경" xfId="2289" xr:uid="{00000000-0005-0000-0000-0000F0080000}"/>
    <cellStyle name="1_tree_총괄내역0518_구로리설계예산서조경_00-설계서,원가계산,내역서" xfId="2290" xr:uid="{00000000-0005-0000-0000-0000F1080000}"/>
    <cellStyle name="1_tree_총괄내역0518_구로리설계예산서조경_설계서-1" xfId="2291" xr:uid="{00000000-0005-0000-0000-0000F2080000}"/>
    <cellStyle name="1_tree_총괄내역0518_구로리설계예산서조경_설계서-1_00-설계서,원가계산,내역서" xfId="2292" xr:uid="{00000000-0005-0000-0000-0000F3080000}"/>
    <cellStyle name="1_tree_총괄내역0518_구로리설계예산서조경_진해자은수량산출서(단지내)" xfId="2293" xr:uid="{00000000-0005-0000-0000-0000F4080000}"/>
    <cellStyle name="1_tree_총괄내역0518_구로리설계예산서조경_진해자은수량산출서(단지내)_00-설계서,원가계산,내역서" xfId="2294" xr:uid="{00000000-0005-0000-0000-0000F5080000}"/>
    <cellStyle name="1_tree_총괄내역0518_구로리설계예산서조경_진해자은수량산출서(단지내)_기초산출표-56-128-최종" xfId="2295" xr:uid="{00000000-0005-0000-0000-0000F6080000}"/>
    <cellStyle name="1_tree_총괄내역0518_구로리설계예산서조경_진해자은수량산출서(단지내)_기초산출표-56-128-최종_00-설계서,원가계산,내역서" xfId="2296" xr:uid="{00000000-0005-0000-0000-0000F7080000}"/>
    <cellStyle name="1_tree_총괄내역0518_구로리설계예산서조경_진해자은수량산출서(단지내)_기초산출표-56-128-최종_설계서-1" xfId="2297" xr:uid="{00000000-0005-0000-0000-0000F8080000}"/>
    <cellStyle name="1_tree_총괄내역0518_구로리설계예산서조경_진해자은수량산출서(단지내)_기초산출표-56-128-최종_설계서-1_00-설계서,원가계산,내역서" xfId="2298" xr:uid="{00000000-0005-0000-0000-0000F9080000}"/>
    <cellStyle name="1_tree_총괄내역0518_구로리설계예산서조경_진해자은수량산출서(단지내)_설계서-1" xfId="2299" xr:uid="{00000000-0005-0000-0000-0000FA080000}"/>
    <cellStyle name="1_tree_총괄내역0518_구로리설계예산서조경_진해자은수량산출서(단지내)_설계서-1_00-설계서,원가계산,내역서" xfId="2300" xr:uid="{00000000-0005-0000-0000-0000FB080000}"/>
    <cellStyle name="1_tree_총괄내역0518_구로리설계예산서조경_진해자은수량산출서(단지내)_취합" xfId="2301" xr:uid="{00000000-0005-0000-0000-0000FC080000}"/>
    <cellStyle name="1_tree_총괄내역0518_구로리설계예산서조경_진해자은수량산출서(단지내)_취합_00-설계서,원가계산,내역서" xfId="2302" xr:uid="{00000000-0005-0000-0000-0000FD080000}"/>
    <cellStyle name="1_tree_총괄내역0518_구로리설계예산서조경_진해자은수량산출서(단지내)_취합_설계서-1" xfId="2303" xr:uid="{00000000-0005-0000-0000-0000FE080000}"/>
    <cellStyle name="1_tree_총괄내역0518_구로리설계예산서조경_진해자은수량산출서(단지내)_취합_설계서-1_00-설계서,원가계산,내역서" xfId="2304" xr:uid="{00000000-0005-0000-0000-0000FF080000}"/>
    <cellStyle name="1_tree_총괄내역0518_구로리어린이공원예산서(조경)1125" xfId="2305" xr:uid="{00000000-0005-0000-0000-000000090000}"/>
    <cellStyle name="1_tree_총괄내역0518_구로리어린이공원예산서(조경)1125_00-설계서,원가계산,내역서" xfId="2306" xr:uid="{00000000-0005-0000-0000-000001090000}"/>
    <cellStyle name="1_tree_총괄내역0518_구로리어린이공원예산서(조경)1125_설계서-1" xfId="2307" xr:uid="{00000000-0005-0000-0000-000002090000}"/>
    <cellStyle name="1_tree_총괄내역0518_구로리어린이공원예산서(조경)1125_설계서-1_00-설계서,원가계산,내역서" xfId="2308" xr:uid="{00000000-0005-0000-0000-000003090000}"/>
    <cellStyle name="1_tree_총괄내역0518_구로리어린이공원예산서(조경)1125_진해자은수량산출서(단지내)" xfId="2309" xr:uid="{00000000-0005-0000-0000-000004090000}"/>
    <cellStyle name="1_tree_총괄내역0518_구로리어린이공원예산서(조경)1125_진해자은수량산출서(단지내)_00-설계서,원가계산,내역서" xfId="2310" xr:uid="{00000000-0005-0000-0000-000005090000}"/>
    <cellStyle name="1_tree_총괄내역0518_구로리어린이공원예산서(조경)1125_진해자은수량산출서(단지내)_기초산출표-56-128-최종" xfId="2311" xr:uid="{00000000-0005-0000-0000-000006090000}"/>
    <cellStyle name="1_tree_총괄내역0518_구로리어린이공원예산서(조경)1125_진해자은수량산출서(단지내)_기초산출표-56-128-최종_00-설계서,원가계산,내역서" xfId="2312" xr:uid="{00000000-0005-0000-0000-000007090000}"/>
    <cellStyle name="1_tree_총괄내역0518_구로리어린이공원예산서(조경)1125_진해자은수량산출서(단지내)_기초산출표-56-128-최종_설계서-1" xfId="2313" xr:uid="{00000000-0005-0000-0000-000008090000}"/>
    <cellStyle name="1_tree_총괄내역0518_구로리어린이공원예산서(조경)1125_진해자은수량산출서(단지내)_기초산출표-56-128-최종_설계서-1_00-설계서,원가계산,내역서" xfId="2314" xr:uid="{00000000-0005-0000-0000-000009090000}"/>
    <cellStyle name="1_tree_총괄내역0518_구로리어린이공원예산서(조경)1125_진해자은수량산출서(단지내)_설계서-1" xfId="2315" xr:uid="{00000000-0005-0000-0000-00000A090000}"/>
    <cellStyle name="1_tree_총괄내역0518_구로리어린이공원예산서(조경)1125_진해자은수량산출서(단지내)_설계서-1_00-설계서,원가계산,내역서" xfId="2316" xr:uid="{00000000-0005-0000-0000-00000B090000}"/>
    <cellStyle name="1_tree_총괄내역0518_구로리어린이공원예산서(조경)1125_진해자은수량산출서(단지내)_취합" xfId="2317" xr:uid="{00000000-0005-0000-0000-00000C090000}"/>
    <cellStyle name="1_tree_총괄내역0518_구로리어린이공원예산서(조경)1125_진해자은수량산출서(단지내)_취합_00-설계서,원가계산,내역서" xfId="2318" xr:uid="{00000000-0005-0000-0000-00000D090000}"/>
    <cellStyle name="1_tree_총괄내역0518_구로리어린이공원예산서(조경)1125_진해자은수량산출서(단지내)_취합_설계서-1" xfId="2319" xr:uid="{00000000-0005-0000-0000-00000E090000}"/>
    <cellStyle name="1_tree_총괄내역0518_구로리어린이공원예산서(조경)1125_진해자은수량산출서(단지내)_취합_설계서-1_00-설계서,원가계산,내역서" xfId="2320" xr:uid="{00000000-0005-0000-0000-00000F090000}"/>
    <cellStyle name="1_tree_총괄내역0518_내역서" xfId="2321" xr:uid="{00000000-0005-0000-0000-000010090000}"/>
    <cellStyle name="1_tree_총괄내역0518_내역서_00-설계서,원가계산,내역서" xfId="2322" xr:uid="{00000000-0005-0000-0000-000011090000}"/>
    <cellStyle name="1_tree_총괄내역0518_내역서_설계서-1" xfId="2323" xr:uid="{00000000-0005-0000-0000-000012090000}"/>
    <cellStyle name="1_tree_총괄내역0518_내역서_설계서-1_00-설계서,원가계산,내역서" xfId="2324" xr:uid="{00000000-0005-0000-0000-000013090000}"/>
    <cellStyle name="1_tree_총괄내역0518_내역서_진해자은수량산출서(단지내)" xfId="2325" xr:uid="{00000000-0005-0000-0000-000014090000}"/>
    <cellStyle name="1_tree_총괄내역0518_내역서_진해자은수량산출서(단지내)_00-설계서,원가계산,내역서" xfId="2326" xr:uid="{00000000-0005-0000-0000-000015090000}"/>
    <cellStyle name="1_tree_총괄내역0518_내역서_진해자은수량산출서(단지내)_기초산출표-56-128-최종" xfId="2327" xr:uid="{00000000-0005-0000-0000-000016090000}"/>
    <cellStyle name="1_tree_총괄내역0518_내역서_진해자은수량산출서(단지내)_기초산출표-56-128-최종_00-설계서,원가계산,내역서" xfId="2328" xr:uid="{00000000-0005-0000-0000-000017090000}"/>
    <cellStyle name="1_tree_총괄내역0518_내역서_진해자은수량산출서(단지내)_기초산출표-56-128-최종_설계서-1" xfId="2329" xr:uid="{00000000-0005-0000-0000-000018090000}"/>
    <cellStyle name="1_tree_총괄내역0518_내역서_진해자은수량산출서(단지내)_기초산출표-56-128-최종_설계서-1_00-설계서,원가계산,내역서" xfId="2330" xr:uid="{00000000-0005-0000-0000-000019090000}"/>
    <cellStyle name="1_tree_총괄내역0518_내역서_진해자은수량산출서(단지내)_설계서-1" xfId="2331" xr:uid="{00000000-0005-0000-0000-00001A090000}"/>
    <cellStyle name="1_tree_총괄내역0518_내역서_진해자은수량산출서(단지내)_설계서-1_00-설계서,원가계산,내역서" xfId="2332" xr:uid="{00000000-0005-0000-0000-00001B090000}"/>
    <cellStyle name="1_tree_총괄내역0518_내역서_진해자은수량산출서(단지내)_취합" xfId="2333" xr:uid="{00000000-0005-0000-0000-00001C090000}"/>
    <cellStyle name="1_tree_총괄내역0518_내역서_진해자은수량산출서(단지내)_취합_00-설계서,원가계산,내역서" xfId="2334" xr:uid="{00000000-0005-0000-0000-00001D090000}"/>
    <cellStyle name="1_tree_총괄내역0518_내역서_진해자은수량산출서(단지내)_취합_설계서-1" xfId="2335" xr:uid="{00000000-0005-0000-0000-00001E090000}"/>
    <cellStyle name="1_tree_총괄내역0518_내역서_진해자은수량산출서(단지내)_취합_설계서-1_00-설계서,원가계산,내역서" xfId="2336" xr:uid="{00000000-0005-0000-0000-00001F090000}"/>
    <cellStyle name="1_tree_총괄내역0518_노임단가표" xfId="2337" xr:uid="{00000000-0005-0000-0000-000020090000}"/>
    <cellStyle name="1_tree_총괄내역0518_노임단가표_00-설계서,원가계산,내역서" xfId="2338" xr:uid="{00000000-0005-0000-0000-000021090000}"/>
    <cellStyle name="1_tree_총괄내역0518_노임단가표_설계서-1" xfId="2339" xr:uid="{00000000-0005-0000-0000-000022090000}"/>
    <cellStyle name="1_tree_총괄내역0518_노임단가표_설계서-1_00-설계서,원가계산,내역서" xfId="2340" xr:uid="{00000000-0005-0000-0000-000023090000}"/>
    <cellStyle name="1_tree_총괄내역0518_노임단가표_진해자은수량산출서(단지내)" xfId="2341" xr:uid="{00000000-0005-0000-0000-000024090000}"/>
    <cellStyle name="1_tree_총괄내역0518_노임단가표_진해자은수량산출서(단지내)_00-설계서,원가계산,내역서" xfId="2342" xr:uid="{00000000-0005-0000-0000-000025090000}"/>
    <cellStyle name="1_tree_총괄내역0518_노임단가표_진해자은수량산출서(단지내)_기초산출표-56-128-최종" xfId="2343" xr:uid="{00000000-0005-0000-0000-000026090000}"/>
    <cellStyle name="1_tree_총괄내역0518_노임단가표_진해자은수량산출서(단지내)_기초산출표-56-128-최종_00-설계서,원가계산,내역서" xfId="2344" xr:uid="{00000000-0005-0000-0000-000027090000}"/>
    <cellStyle name="1_tree_총괄내역0518_노임단가표_진해자은수량산출서(단지내)_기초산출표-56-128-최종_설계서-1" xfId="2345" xr:uid="{00000000-0005-0000-0000-000028090000}"/>
    <cellStyle name="1_tree_총괄내역0518_노임단가표_진해자은수량산출서(단지내)_기초산출표-56-128-최종_설계서-1_00-설계서,원가계산,내역서" xfId="2346" xr:uid="{00000000-0005-0000-0000-000029090000}"/>
    <cellStyle name="1_tree_총괄내역0518_노임단가표_진해자은수량산출서(단지내)_설계서-1" xfId="2347" xr:uid="{00000000-0005-0000-0000-00002A090000}"/>
    <cellStyle name="1_tree_총괄내역0518_노임단가표_진해자은수량산출서(단지내)_설계서-1_00-설계서,원가계산,내역서" xfId="2348" xr:uid="{00000000-0005-0000-0000-00002B090000}"/>
    <cellStyle name="1_tree_총괄내역0518_노임단가표_진해자은수량산출서(단지내)_취합" xfId="2349" xr:uid="{00000000-0005-0000-0000-00002C090000}"/>
    <cellStyle name="1_tree_총괄내역0518_노임단가표_진해자은수량산출서(단지내)_취합_00-설계서,원가계산,내역서" xfId="2350" xr:uid="{00000000-0005-0000-0000-00002D090000}"/>
    <cellStyle name="1_tree_총괄내역0518_노임단가표_진해자은수량산출서(단지내)_취합_설계서-1" xfId="2351" xr:uid="{00000000-0005-0000-0000-00002E090000}"/>
    <cellStyle name="1_tree_총괄내역0518_노임단가표_진해자은수량산출서(단지내)_취합_설계서-1_00-설계서,원가계산,내역서" xfId="2352" xr:uid="{00000000-0005-0000-0000-00002F090000}"/>
    <cellStyle name="1_tree_총괄내역0518_설계서-1" xfId="2353" xr:uid="{00000000-0005-0000-0000-000030090000}"/>
    <cellStyle name="1_tree_총괄내역0518_설계서-1_00-설계서,원가계산,내역서" xfId="2354" xr:uid="{00000000-0005-0000-0000-000031090000}"/>
    <cellStyle name="1_tree_총괄내역0518_수도권매립지" xfId="2355" xr:uid="{00000000-0005-0000-0000-000032090000}"/>
    <cellStyle name="1_tree_총괄내역0518_수도권매립지_00-설계서,원가계산,내역서" xfId="2356" xr:uid="{00000000-0005-0000-0000-000033090000}"/>
    <cellStyle name="1_tree_총괄내역0518_수도권매립지_설계서-1" xfId="2357" xr:uid="{00000000-0005-0000-0000-000034090000}"/>
    <cellStyle name="1_tree_총괄내역0518_수도권매립지_설계서-1_00-설계서,원가계산,내역서" xfId="2358" xr:uid="{00000000-0005-0000-0000-000035090000}"/>
    <cellStyle name="1_tree_총괄내역0518_수도권매립지_진해자은수량산출서(단지내)" xfId="2359" xr:uid="{00000000-0005-0000-0000-000036090000}"/>
    <cellStyle name="1_tree_총괄내역0518_수도권매립지_진해자은수량산출서(단지내)_00-설계서,원가계산,내역서" xfId="2360" xr:uid="{00000000-0005-0000-0000-000037090000}"/>
    <cellStyle name="1_tree_총괄내역0518_수도권매립지_진해자은수량산출서(단지내)_기초산출표-56-128-최종" xfId="2361" xr:uid="{00000000-0005-0000-0000-000038090000}"/>
    <cellStyle name="1_tree_총괄내역0518_수도권매립지_진해자은수량산출서(단지내)_기초산출표-56-128-최종_00-설계서,원가계산,내역서" xfId="2362" xr:uid="{00000000-0005-0000-0000-000039090000}"/>
    <cellStyle name="1_tree_총괄내역0518_수도권매립지_진해자은수량산출서(단지내)_기초산출표-56-128-최종_설계서-1" xfId="2363" xr:uid="{00000000-0005-0000-0000-00003A090000}"/>
    <cellStyle name="1_tree_총괄내역0518_수도권매립지_진해자은수량산출서(단지내)_기초산출표-56-128-최종_설계서-1_00-설계서,원가계산,내역서" xfId="2364" xr:uid="{00000000-0005-0000-0000-00003B090000}"/>
    <cellStyle name="1_tree_총괄내역0518_수도권매립지_진해자은수량산출서(단지내)_설계서-1" xfId="2365" xr:uid="{00000000-0005-0000-0000-00003C090000}"/>
    <cellStyle name="1_tree_총괄내역0518_수도권매립지_진해자은수량산출서(단지내)_설계서-1_00-설계서,원가계산,내역서" xfId="2366" xr:uid="{00000000-0005-0000-0000-00003D090000}"/>
    <cellStyle name="1_tree_총괄내역0518_수도권매립지_진해자은수량산출서(단지내)_취합" xfId="2367" xr:uid="{00000000-0005-0000-0000-00003E090000}"/>
    <cellStyle name="1_tree_총괄내역0518_수도권매립지_진해자은수량산출서(단지내)_취합_00-설계서,원가계산,내역서" xfId="2368" xr:uid="{00000000-0005-0000-0000-00003F090000}"/>
    <cellStyle name="1_tree_총괄내역0518_수도권매립지_진해자은수량산출서(단지내)_취합_설계서-1" xfId="2369" xr:uid="{00000000-0005-0000-0000-000040090000}"/>
    <cellStyle name="1_tree_총괄내역0518_수도권매립지_진해자은수량산출서(단지내)_취합_설계서-1_00-설계서,원가계산,내역서" xfId="2370" xr:uid="{00000000-0005-0000-0000-000041090000}"/>
    <cellStyle name="1_tree_총괄내역0518_수도권매립지1004(발주용)" xfId="2371" xr:uid="{00000000-0005-0000-0000-000042090000}"/>
    <cellStyle name="1_tree_총괄내역0518_수도권매립지1004(발주용)_00-설계서,원가계산,내역서" xfId="2372" xr:uid="{00000000-0005-0000-0000-000043090000}"/>
    <cellStyle name="1_tree_총괄내역0518_수도권매립지1004(발주용)_설계서-1" xfId="2373" xr:uid="{00000000-0005-0000-0000-000044090000}"/>
    <cellStyle name="1_tree_총괄내역0518_수도권매립지1004(발주용)_설계서-1_00-설계서,원가계산,내역서" xfId="2374" xr:uid="{00000000-0005-0000-0000-000045090000}"/>
    <cellStyle name="1_tree_총괄내역0518_수도권매립지1004(발주용)_진해자은수량산출서(단지내)" xfId="2375" xr:uid="{00000000-0005-0000-0000-000046090000}"/>
    <cellStyle name="1_tree_총괄내역0518_수도권매립지1004(발주용)_진해자은수량산출서(단지내)_00-설계서,원가계산,내역서" xfId="2376" xr:uid="{00000000-0005-0000-0000-000047090000}"/>
    <cellStyle name="1_tree_총괄내역0518_수도권매립지1004(발주용)_진해자은수량산출서(단지내)_기초산출표-56-128-최종" xfId="2377" xr:uid="{00000000-0005-0000-0000-000048090000}"/>
    <cellStyle name="1_tree_총괄내역0518_수도권매립지1004(발주용)_진해자은수량산출서(단지내)_기초산출표-56-128-최종_00-설계서,원가계산,내역서" xfId="2378" xr:uid="{00000000-0005-0000-0000-000049090000}"/>
    <cellStyle name="1_tree_총괄내역0518_수도권매립지1004(발주용)_진해자은수량산출서(단지내)_기초산출표-56-128-최종_설계서-1" xfId="2379" xr:uid="{00000000-0005-0000-0000-00004A090000}"/>
    <cellStyle name="1_tree_총괄내역0518_수도권매립지1004(발주용)_진해자은수량산출서(단지내)_기초산출표-56-128-최종_설계서-1_00-설계서,원가계산,내역서" xfId="2380" xr:uid="{00000000-0005-0000-0000-00004B090000}"/>
    <cellStyle name="1_tree_총괄내역0518_수도권매립지1004(발주용)_진해자은수량산출서(단지내)_설계서-1" xfId="2381" xr:uid="{00000000-0005-0000-0000-00004C090000}"/>
    <cellStyle name="1_tree_총괄내역0518_수도권매립지1004(발주용)_진해자은수량산출서(단지내)_설계서-1_00-설계서,원가계산,내역서" xfId="2382" xr:uid="{00000000-0005-0000-0000-00004D090000}"/>
    <cellStyle name="1_tree_총괄내역0518_수도권매립지1004(발주용)_진해자은수량산출서(단지내)_취합" xfId="2383" xr:uid="{00000000-0005-0000-0000-00004E090000}"/>
    <cellStyle name="1_tree_총괄내역0518_수도권매립지1004(발주용)_진해자은수량산출서(단지내)_취합_00-설계서,원가계산,내역서" xfId="2384" xr:uid="{00000000-0005-0000-0000-00004F090000}"/>
    <cellStyle name="1_tree_총괄내역0518_수도권매립지1004(발주용)_진해자은수량산출서(단지내)_취합_설계서-1" xfId="2385" xr:uid="{00000000-0005-0000-0000-000050090000}"/>
    <cellStyle name="1_tree_총괄내역0518_수도권매립지1004(발주용)_진해자은수량산출서(단지내)_취합_설계서-1_00-설계서,원가계산,내역서" xfId="2386" xr:uid="{00000000-0005-0000-0000-000051090000}"/>
    <cellStyle name="1_tree_총괄내역0518_일신건영설계예산서(0211)" xfId="2387" xr:uid="{00000000-0005-0000-0000-000052090000}"/>
    <cellStyle name="1_tree_총괄내역0518_일신건영설계예산서(0211)_00-설계서,원가계산,내역서" xfId="2388" xr:uid="{00000000-0005-0000-0000-000053090000}"/>
    <cellStyle name="1_tree_총괄내역0518_일신건영설계예산서(0211)_설계서-1" xfId="2389" xr:uid="{00000000-0005-0000-0000-000054090000}"/>
    <cellStyle name="1_tree_총괄내역0518_일신건영설계예산서(0211)_설계서-1_00-설계서,원가계산,내역서" xfId="2390" xr:uid="{00000000-0005-0000-0000-000055090000}"/>
    <cellStyle name="1_tree_총괄내역0518_일신건영설계예산서(0211)_진해자은수량산출서(단지내)" xfId="2391" xr:uid="{00000000-0005-0000-0000-000056090000}"/>
    <cellStyle name="1_tree_총괄내역0518_일신건영설계예산서(0211)_진해자은수량산출서(단지내)_00-설계서,원가계산,내역서" xfId="2392" xr:uid="{00000000-0005-0000-0000-000057090000}"/>
    <cellStyle name="1_tree_총괄내역0518_일신건영설계예산서(0211)_진해자은수량산출서(단지내)_기초산출표-56-128-최종" xfId="2393" xr:uid="{00000000-0005-0000-0000-000058090000}"/>
    <cellStyle name="1_tree_총괄내역0518_일신건영설계예산서(0211)_진해자은수량산출서(단지내)_기초산출표-56-128-최종_00-설계서,원가계산,내역서" xfId="2394" xr:uid="{00000000-0005-0000-0000-000059090000}"/>
    <cellStyle name="1_tree_총괄내역0518_일신건영설계예산서(0211)_진해자은수량산출서(단지내)_기초산출표-56-128-최종_설계서-1" xfId="2395" xr:uid="{00000000-0005-0000-0000-00005A090000}"/>
    <cellStyle name="1_tree_총괄내역0518_일신건영설계예산서(0211)_진해자은수량산출서(단지내)_기초산출표-56-128-최종_설계서-1_00-설계서,원가계산,내역서" xfId="2396" xr:uid="{00000000-0005-0000-0000-00005B090000}"/>
    <cellStyle name="1_tree_총괄내역0518_일신건영설계예산서(0211)_진해자은수량산출서(단지내)_설계서-1" xfId="2397" xr:uid="{00000000-0005-0000-0000-00005C090000}"/>
    <cellStyle name="1_tree_총괄내역0518_일신건영설계예산서(0211)_진해자은수량산출서(단지내)_설계서-1_00-설계서,원가계산,내역서" xfId="2398" xr:uid="{00000000-0005-0000-0000-00005D090000}"/>
    <cellStyle name="1_tree_총괄내역0518_일신건영설계예산서(0211)_진해자은수량산출서(단지내)_취합" xfId="2399" xr:uid="{00000000-0005-0000-0000-00005E090000}"/>
    <cellStyle name="1_tree_총괄내역0518_일신건영설계예산서(0211)_진해자은수량산출서(단지내)_취합_00-설계서,원가계산,내역서" xfId="2400" xr:uid="{00000000-0005-0000-0000-00005F090000}"/>
    <cellStyle name="1_tree_총괄내역0518_일신건영설계예산서(0211)_진해자은수량산출서(단지내)_취합_설계서-1" xfId="2401" xr:uid="{00000000-0005-0000-0000-000060090000}"/>
    <cellStyle name="1_tree_총괄내역0518_일신건영설계예산서(0211)_진해자은수량산출서(단지내)_취합_설계서-1_00-설계서,원가계산,내역서" xfId="2402" xr:uid="{00000000-0005-0000-0000-000061090000}"/>
    <cellStyle name="1_tree_총괄내역0518_일위대가" xfId="2403" xr:uid="{00000000-0005-0000-0000-000062090000}"/>
    <cellStyle name="1_tree_총괄내역0518_일위대가_00-설계서,원가계산,내역서" xfId="2404" xr:uid="{00000000-0005-0000-0000-000063090000}"/>
    <cellStyle name="1_tree_총괄내역0518_일위대가_설계서-1" xfId="2405" xr:uid="{00000000-0005-0000-0000-000064090000}"/>
    <cellStyle name="1_tree_총괄내역0518_일위대가_설계서-1_00-설계서,원가계산,내역서" xfId="2406" xr:uid="{00000000-0005-0000-0000-000065090000}"/>
    <cellStyle name="1_tree_총괄내역0518_일위대가_진해자은수량산출서(단지내)" xfId="2407" xr:uid="{00000000-0005-0000-0000-000066090000}"/>
    <cellStyle name="1_tree_총괄내역0518_일위대가_진해자은수량산출서(단지내)_00-설계서,원가계산,내역서" xfId="2408" xr:uid="{00000000-0005-0000-0000-000067090000}"/>
    <cellStyle name="1_tree_총괄내역0518_일위대가_진해자은수량산출서(단지내)_기초산출표-56-128-최종" xfId="2409" xr:uid="{00000000-0005-0000-0000-000068090000}"/>
    <cellStyle name="1_tree_총괄내역0518_일위대가_진해자은수량산출서(단지내)_기초산출표-56-128-최종_00-설계서,원가계산,내역서" xfId="2410" xr:uid="{00000000-0005-0000-0000-000069090000}"/>
    <cellStyle name="1_tree_총괄내역0518_일위대가_진해자은수량산출서(단지내)_기초산출표-56-128-최종_설계서-1" xfId="2411" xr:uid="{00000000-0005-0000-0000-00006A090000}"/>
    <cellStyle name="1_tree_총괄내역0518_일위대가_진해자은수량산출서(단지내)_기초산출표-56-128-최종_설계서-1_00-설계서,원가계산,내역서" xfId="2412" xr:uid="{00000000-0005-0000-0000-00006B090000}"/>
    <cellStyle name="1_tree_총괄내역0518_일위대가_진해자은수량산출서(단지내)_설계서-1" xfId="2413" xr:uid="{00000000-0005-0000-0000-00006C090000}"/>
    <cellStyle name="1_tree_총괄내역0518_일위대가_진해자은수량산출서(단지내)_설계서-1_00-설계서,원가계산,내역서" xfId="2414" xr:uid="{00000000-0005-0000-0000-00006D090000}"/>
    <cellStyle name="1_tree_총괄내역0518_일위대가_진해자은수량산출서(단지내)_취합" xfId="2415" xr:uid="{00000000-0005-0000-0000-00006E090000}"/>
    <cellStyle name="1_tree_총괄내역0518_일위대가_진해자은수량산출서(단지내)_취합_00-설계서,원가계산,내역서" xfId="2416" xr:uid="{00000000-0005-0000-0000-00006F090000}"/>
    <cellStyle name="1_tree_총괄내역0518_일위대가_진해자은수량산출서(단지내)_취합_설계서-1" xfId="2417" xr:uid="{00000000-0005-0000-0000-000070090000}"/>
    <cellStyle name="1_tree_총괄내역0518_일위대가_진해자은수량산출서(단지내)_취합_설계서-1_00-설계서,원가계산,내역서" xfId="2418" xr:uid="{00000000-0005-0000-0000-000071090000}"/>
    <cellStyle name="1_tree_총괄내역0518_자재단가표" xfId="2419" xr:uid="{00000000-0005-0000-0000-000072090000}"/>
    <cellStyle name="1_tree_총괄내역0518_자재단가표_00-설계서,원가계산,내역서" xfId="2420" xr:uid="{00000000-0005-0000-0000-000073090000}"/>
    <cellStyle name="1_tree_총괄내역0518_자재단가표_설계서-1" xfId="2421" xr:uid="{00000000-0005-0000-0000-000074090000}"/>
    <cellStyle name="1_tree_총괄내역0518_자재단가표_설계서-1_00-설계서,원가계산,내역서" xfId="2422" xr:uid="{00000000-0005-0000-0000-000075090000}"/>
    <cellStyle name="1_tree_총괄내역0518_자재단가표_진해자은수량산출서(단지내)" xfId="2423" xr:uid="{00000000-0005-0000-0000-000076090000}"/>
    <cellStyle name="1_tree_총괄내역0518_자재단가표_진해자은수량산출서(단지내)_00-설계서,원가계산,내역서" xfId="2424" xr:uid="{00000000-0005-0000-0000-000077090000}"/>
    <cellStyle name="1_tree_총괄내역0518_자재단가표_진해자은수량산출서(단지내)_기초산출표-56-128-최종" xfId="2425" xr:uid="{00000000-0005-0000-0000-000078090000}"/>
    <cellStyle name="1_tree_총괄내역0518_자재단가표_진해자은수량산출서(단지내)_기초산출표-56-128-최종_00-설계서,원가계산,내역서" xfId="2426" xr:uid="{00000000-0005-0000-0000-000079090000}"/>
    <cellStyle name="1_tree_총괄내역0518_자재단가표_진해자은수량산출서(단지내)_기초산출표-56-128-최종_설계서-1" xfId="2427" xr:uid="{00000000-0005-0000-0000-00007A090000}"/>
    <cellStyle name="1_tree_총괄내역0518_자재단가표_진해자은수량산출서(단지내)_기초산출표-56-128-최종_설계서-1_00-설계서,원가계산,내역서" xfId="2428" xr:uid="{00000000-0005-0000-0000-00007B090000}"/>
    <cellStyle name="1_tree_총괄내역0518_자재단가표_진해자은수량산출서(단지내)_설계서-1" xfId="2429" xr:uid="{00000000-0005-0000-0000-00007C090000}"/>
    <cellStyle name="1_tree_총괄내역0518_자재단가표_진해자은수량산출서(단지내)_설계서-1_00-설계서,원가계산,내역서" xfId="2430" xr:uid="{00000000-0005-0000-0000-00007D090000}"/>
    <cellStyle name="1_tree_총괄내역0518_자재단가표_진해자은수량산출서(단지내)_취합" xfId="2431" xr:uid="{00000000-0005-0000-0000-00007E090000}"/>
    <cellStyle name="1_tree_총괄내역0518_자재단가표_진해자은수량산출서(단지내)_취합_00-설계서,원가계산,내역서" xfId="2432" xr:uid="{00000000-0005-0000-0000-00007F090000}"/>
    <cellStyle name="1_tree_총괄내역0518_자재단가표_진해자은수량산출서(단지내)_취합_설계서-1" xfId="2433" xr:uid="{00000000-0005-0000-0000-000080090000}"/>
    <cellStyle name="1_tree_총괄내역0518_자재단가표_진해자은수량산출서(단지내)_취합_설계서-1_00-설계서,원가계산,내역서" xfId="2434" xr:uid="{00000000-0005-0000-0000-000081090000}"/>
    <cellStyle name="1_tree_총괄내역0518_장안초등학교내역0814" xfId="2435" xr:uid="{00000000-0005-0000-0000-000082090000}"/>
    <cellStyle name="1_tree_총괄내역0518_장안초등학교내역0814_00-설계서,원가계산,내역서" xfId="2436" xr:uid="{00000000-0005-0000-0000-000083090000}"/>
    <cellStyle name="1_tree_총괄내역0518_장안초등학교내역0814_설계서-1" xfId="2437" xr:uid="{00000000-0005-0000-0000-000084090000}"/>
    <cellStyle name="1_tree_총괄내역0518_장안초등학교내역0814_설계서-1_00-설계서,원가계산,내역서" xfId="2438" xr:uid="{00000000-0005-0000-0000-000085090000}"/>
    <cellStyle name="1_tree_총괄내역0518_장안초등학교내역0814_진해자은수량산출서(단지내)" xfId="2439" xr:uid="{00000000-0005-0000-0000-000086090000}"/>
    <cellStyle name="1_tree_총괄내역0518_장안초등학교내역0814_진해자은수량산출서(단지내)_00-설계서,원가계산,내역서" xfId="2440" xr:uid="{00000000-0005-0000-0000-000087090000}"/>
    <cellStyle name="1_tree_총괄내역0518_장안초등학교내역0814_진해자은수량산출서(단지내)_기초산출표-56-128-최종" xfId="2441" xr:uid="{00000000-0005-0000-0000-000088090000}"/>
    <cellStyle name="1_tree_총괄내역0518_장안초등학교내역0814_진해자은수량산출서(단지내)_기초산출표-56-128-최종_00-설계서,원가계산,내역서" xfId="2442" xr:uid="{00000000-0005-0000-0000-000089090000}"/>
    <cellStyle name="1_tree_총괄내역0518_장안초등학교내역0814_진해자은수량산출서(단지내)_기초산출표-56-128-최종_설계서-1" xfId="2443" xr:uid="{00000000-0005-0000-0000-00008A090000}"/>
    <cellStyle name="1_tree_총괄내역0518_장안초등학교내역0814_진해자은수량산출서(단지내)_기초산출표-56-128-최종_설계서-1_00-설계서,원가계산,내역서" xfId="2444" xr:uid="{00000000-0005-0000-0000-00008B090000}"/>
    <cellStyle name="1_tree_총괄내역0518_장안초등학교내역0814_진해자은수량산출서(단지내)_설계서-1" xfId="2445" xr:uid="{00000000-0005-0000-0000-00008C090000}"/>
    <cellStyle name="1_tree_총괄내역0518_장안초등학교내역0814_진해자은수량산출서(단지내)_설계서-1_00-설계서,원가계산,내역서" xfId="2446" xr:uid="{00000000-0005-0000-0000-00008D090000}"/>
    <cellStyle name="1_tree_총괄내역0518_장안초등학교내역0814_진해자은수량산출서(단지내)_취합" xfId="2447" xr:uid="{00000000-0005-0000-0000-00008E090000}"/>
    <cellStyle name="1_tree_총괄내역0518_장안초등학교내역0814_진해자은수량산출서(단지내)_취합_00-설계서,원가계산,내역서" xfId="2448" xr:uid="{00000000-0005-0000-0000-00008F090000}"/>
    <cellStyle name="1_tree_총괄내역0518_장안초등학교내역0814_진해자은수량산출서(단지내)_취합_설계서-1" xfId="2449" xr:uid="{00000000-0005-0000-0000-000090090000}"/>
    <cellStyle name="1_tree_총괄내역0518_장안초등학교내역0814_진해자은수량산출서(단지내)_취합_설계서-1_00-설계서,원가계산,내역서" xfId="2450" xr:uid="{00000000-0005-0000-0000-000091090000}"/>
    <cellStyle name="1_tree_총괄내역0518_진해자은수량산출서(단지내)" xfId="2451" xr:uid="{00000000-0005-0000-0000-000092090000}"/>
    <cellStyle name="1_tree_총괄내역0518_진해자은수량산출서(단지내)_00-설계서,원가계산,내역서" xfId="2452" xr:uid="{00000000-0005-0000-0000-000093090000}"/>
    <cellStyle name="1_tree_총괄내역0518_진해자은수량산출서(단지내)_기초산출표-56-128-최종" xfId="2453" xr:uid="{00000000-0005-0000-0000-000094090000}"/>
    <cellStyle name="1_tree_총괄내역0518_진해자은수량산출서(단지내)_기초산출표-56-128-최종_00-설계서,원가계산,내역서" xfId="2454" xr:uid="{00000000-0005-0000-0000-000095090000}"/>
    <cellStyle name="1_tree_총괄내역0518_진해자은수량산출서(단지내)_기초산출표-56-128-최종_설계서-1" xfId="2455" xr:uid="{00000000-0005-0000-0000-000096090000}"/>
    <cellStyle name="1_tree_총괄내역0518_진해자은수량산출서(단지내)_기초산출표-56-128-최종_설계서-1_00-설계서,원가계산,내역서" xfId="2456" xr:uid="{00000000-0005-0000-0000-000097090000}"/>
    <cellStyle name="1_tree_총괄내역0518_진해자은수량산출서(단지내)_설계서-1" xfId="2457" xr:uid="{00000000-0005-0000-0000-000098090000}"/>
    <cellStyle name="1_tree_총괄내역0518_진해자은수량산출서(단지내)_설계서-1_00-설계서,원가계산,내역서" xfId="2458" xr:uid="{00000000-0005-0000-0000-000099090000}"/>
    <cellStyle name="1_tree_총괄내역0518_진해자은수량산출서(단지내)_취합" xfId="2459" xr:uid="{00000000-0005-0000-0000-00009A090000}"/>
    <cellStyle name="1_tree_총괄내역0518_진해자은수량산출서(단지내)_취합_00-설계서,원가계산,내역서" xfId="2460" xr:uid="{00000000-0005-0000-0000-00009B090000}"/>
    <cellStyle name="1_tree_총괄내역0518_진해자은수량산출서(단지내)_취합_설계서-1" xfId="2461" xr:uid="{00000000-0005-0000-0000-00009C090000}"/>
    <cellStyle name="1_tree_총괄내역0518_진해자은수량산출서(단지내)_취합_설계서-1_00-설계서,원가계산,내역서" xfId="2462" xr:uid="{00000000-0005-0000-0000-00009D090000}"/>
    <cellStyle name="1_tree_현충묘지-예산서(조경)" xfId="2463" xr:uid="{00000000-0005-0000-0000-00009E090000}"/>
    <cellStyle name="1_tree_현충묘지-예산서(조경)_00-설계서,원가계산,내역서" xfId="2464" xr:uid="{00000000-0005-0000-0000-00009F090000}"/>
    <cellStyle name="1_tree_현충묘지-예산서(조경)_목동내역" xfId="2465" xr:uid="{00000000-0005-0000-0000-0000A0090000}"/>
    <cellStyle name="1_tree_현충묘지-예산서(조경)_목동내역_00-설계서,원가계산,내역서" xfId="2466" xr:uid="{00000000-0005-0000-0000-0000A1090000}"/>
    <cellStyle name="1_tree_현충묘지-예산서(조경)_목동내역_폐기물집계" xfId="2467" xr:uid="{00000000-0005-0000-0000-0000A2090000}"/>
    <cellStyle name="1_tree_현충묘지-예산서(조경)_목동내역_폐기물집계_00-설계서,원가계산,내역서" xfId="2468" xr:uid="{00000000-0005-0000-0000-0000A3090000}"/>
    <cellStyle name="1_tree_현충묘지-예산서(조경)_예산서-엑셀변환양식100" xfId="2469" xr:uid="{00000000-0005-0000-0000-0000A4090000}"/>
    <cellStyle name="1_tree_현충묘지-예산서(조경)_예산서-엑셀변환양식100_00-설계서,원가계산,내역서" xfId="2470" xr:uid="{00000000-0005-0000-0000-0000A5090000}"/>
    <cellStyle name="1_tree_현충묘지-예산서(조경)_예산서-엑셀변환양식100_목동내역" xfId="2471" xr:uid="{00000000-0005-0000-0000-0000A6090000}"/>
    <cellStyle name="1_tree_현충묘지-예산서(조경)_예산서-엑셀변환양식100_목동내역_00-설계서,원가계산,내역서" xfId="2472" xr:uid="{00000000-0005-0000-0000-0000A7090000}"/>
    <cellStyle name="1_tree_현충묘지-예산서(조경)_예산서-엑셀변환양식100_목동내역_폐기물집계" xfId="2473" xr:uid="{00000000-0005-0000-0000-0000A8090000}"/>
    <cellStyle name="1_tree_현충묘지-예산서(조경)_예산서-엑셀변환양식100_목동내역_폐기물집계_00-설계서,원가계산,내역서" xfId="2474" xr:uid="{00000000-0005-0000-0000-0000A9090000}"/>
    <cellStyle name="1_강남폐기물내역" xfId="2475" xr:uid="{00000000-0005-0000-0000-0000AA090000}"/>
    <cellStyle name="1_공양식(레인보우스케이프)" xfId="2476" xr:uid="{00000000-0005-0000-0000-0000AB090000}"/>
    <cellStyle name="1_단가조사표" xfId="2477" xr:uid="{00000000-0005-0000-0000-0000AC090000}"/>
    <cellStyle name="1_단가조사표_1011소각" xfId="2478" xr:uid="{00000000-0005-0000-0000-0000AD090000}"/>
    <cellStyle name="1_단가조사표_1113교~1" xfId="2479" xr:uid="{00000000-0005-0000-0000-0000AE090000}"/>
    <cellStyle name="1_단가조사표_121내역" xfId="2480" xr:uid="{00000000-0005-0000-0000-0000AF090000}"/>
    <cellStyle name="1_단가조사표_객토량" xfId="2481" xr:uid="{00000000-0005-0000-0000-0000B0090000}"/>
    <cellStyle name="1_단가조사표_교통센~1" xfId="2482" xr:uid="{00000000-0005-0000-0000-0000B1090000}"/>
    <cellStyle name="1_단가조사표_교통센터412" xfId="2483" xr:uid="{00000000-0005-0000-0000-0000B2090000}"/>
    <cellStyle name="1_단가조사표_교통수" xfId="2484" xr:uid="{00000000-0005-0000-0000-0000B3090000}"/>
    <cellStyle name="1_단가조사표_교통수량산출서" xfId="2485" xr:uid="{00000000-0005-0000-0000-0000B4090000}"/>
    <cellStyle name="1_단가조사표_구조물대가 (2)" xfId="2486" xr:uid="{00000000-0005-0000-0000-0000B5090000}"/>
    <cellStyle name="1_단가조사표_내역서 (2)" xfId="2487" xr:uid="{00000000-0005-0000-0000-0000B6090000}"/>
    <cellStyle name="1_단가조사표_대전관저지구" xfId="2488" xr:uid="{00000000-0005-0000-0000-0000B7090000}"/>
    <cellStyle name="1_단가조사표_동측지~1" xfId="2489" xr:uid="{00000000-0005-0000-0000-0000B8090000}"/>
    <cellStyle name="1_단가조사표_동측지원422" xfId="2490" xr:uid="{00000000-0005-0000-0000-0000B9090000}"/>
    <cellStyle name="1_단가조사표_동측지원512" xfId="2491" xr:uid="{00000000-0005-0000-0000-0000BA090000}"/>
    <cellStyle name="1_단가조사표_동측지원524" xfId="2492" xr:uid="{00000000-0005-0000-0000-0000BB090000}"/>
    <cellStyle name="1_단가조사표_부대422" xfId="2493" xr:uid="{00000000-0005-0000-0000-0000BC090000}"/>
    <cellStyle name="1_단가조사표_부대시설" xfId="2494" xr:uid="{00000000-0005-0000-0000-0000BD090000}"/>
    <cellStyle name="1_단가조사표_소각수~1" xfId="2495" xr:uid="{00000000-0005-0000-0000-0000BE090000}"/>
    <cellStyle name="1_단가조사표_소각수내역서" xfId="2496" xr:uid="{00000000-0005-0000-0000-0000BF090000}"/>
    <cellStyle name="1_단가조사표_소각수목2" xfId="2497" xr:uid="{00000000-0005-0000-0000-0000C0090000}"/>
    <cellStyle name="1_단가조사표_수량산출서 (2)" xfId="2498" xr:uid="{00000000-0005-0000-0000-0000C1090000}"/>
    <cellStyle name="1_단가조사표_엑스포~1" xfId="2499" xr:uid="{00000000-0005-0000-0000-0000C2090000}"/>
    <cellStyle name="1_단가조사표_엑스포한빛1" xfId="2500" xr:uid="{00000000-0005-0000-0000-0000C3090000}"/>
    <cellStyle name="1_단가조사표_여객터미널331" xfId="2501" xr:uid="{00000000-0005-0000-0000-0000C4090000}"/>
    <cellStyle name="1_단가조사표_여객터미널513" xfId="2502" xr:uid="{00000000-0005-0000-0000-0000C5090000}"/>
    <cellStyle name="1_단가조사표_여객터미널629" xfId="2503" xr:uid="{00000000-0005-0000-0000-0000C6090000}"/>
    <cellStyle name="1_단가조사표_외곽도로616" xfId="2504" xr:uid="{00000000-0005-0000-0000-0000C7090000}"/>
    <cellStyle name="1_단가조사표_원가계~1" xfId="2505" xr:uid="{00000000-0005-0000-0000-0000C8090000}"/>
    <cellStyle name="1_단가조사표_유기질" xfId="2506" xr:uid="{00000000-0005-0000-0000-0000C9090000}"/>
    <cellStyle name="1_단가조사표_자재조서 (2)" xfId="2507" xr:uid="{00000000-0005-0000-0000-0000CA090000}"/>
    <cellStyle name="1_단가조사표_총괄내역" xfId="2508" xr:uid="{00000000-0005-0000-0000-0000CB090000}"/>
    <cellStyle name="1_단가조사표_총괄내역 (2)" xfId="2509" xr:uid="{00000000-0005-0000-0000-0000CC090000}"/>
    <cellStyle name="1_단가조사표_터미널도로403" xfId="2510" xr:uid="{00000000-0005-0000-0000-0000CD090000}"/>
    <cellStyle name="1_단가조사표_터미널도로429" xfId="2511" xr:uid="{00000000-0005-0000-0000-0000CE090000}"/>
    <cellStyle name="1_단가조사표_포장일위" xfId="2512" xr:uid="{00000000-0005-0000-0000-0000CF090000}"/>
    <cellStyle name="1_목동내역" xfId="2513" xr:uid="{00000000-0005-0000-0000-0000D0090000}"/>
    <cellStyle name="1_시민계략공사" xfId="2514" xr:uid="{00000000-0005-0000-0000-0000D1090000}"/>
    <cellStyle name="1_시민계략공사 2" xfId="2515" xr:uid="{00000000-0005-0000-0000-0000D2090000}"/>
    <cellStyle name="1_시민계략공사 3" xfId="2516" xr:uid="{00000000-0005-0000-0000-0000D3090000}"/>
    <cellStyle name="1_시민계략공사_2002년도각종계산서너릿제터널등7개소" xfId="2517" xr:uid="{00000000-0005-0000-0000-0000D4090000}"/>
    <cellStyle name="1_시민계략공사_2003년 각종계산서(읽기전용)" xfId="2518" xr:uid="{00000000-0005-0000-0000-0000D5090000}"/>
    <cellStyle name="1_시민계략공사_2003년 각종계산서(읽기전용)_00-설계서,원가계산,내역서" xfId="2519" xr:uid="{00000000-0005-0000-0000-0000D6090000}"/>
    <cellStyle name="1_시민계략공사_2003년 각종계산서(읽기전용)_내역서(전기)" xfId="2520" xr:uid="{00000000-0005-0000-0000-0000D7090000}"/>
    <cellStyle name="1_시민계략공사_2003년 각종계산서(읽기전용)_내역서(전기)_00-설계서,원가계산,내역서" xfId="2521" xr:uid="{00000000-0005-0000-0000-0000D8090000}"/>
    <cellStyle name="1_시민계략공사_Book2" xfId="2522" xr:uid="{00000000-0005-0000-0000-0000D9090000}"/>
    <cellStyle name="1_시민계략공사_Book2 2" xfId="2523" xr:uid="{00000000-0005-0000-0000-0000DA090000}"/>
    <cellStyle name="1_시민계략공사_Book2 3" xfId="2524" xr:uid="{00000000-0005-0000-0000-0000DB090000}"/>
    <cellStyle name="1_시민계략공사_각종계산서" xfId="2525" xr:uid="{00000000-0005-0000-0000-0000DC090000}"/>
    <cellStyle name="1_시민계략공사_각종계산서_00-설계서,원가계산,내역서" xfId="2526" xr:uid="{00000000-0005-0000-0000-0000DD090000}"/>
    <cellStyle name="1_시민계략공사_계산서및내역서5월9일변경" xfId="2527" xr:uid="{00000000-0005-0000-0000-0000DE090000}"/>
    <cellStyle name="1_시민계략공사_관급-(수배전반)" xfId="2528" xr:uid="{00000000-0005-0000-0000-0000DF090000}"/>
    <cellStyle name="1_시민계략공사_관급-(수배전반) 2" xfId="2529" xr:uid="{00000000-0005-0000-0000-0000E0090000}"/>
    <cellStyle name="1_시민계략공사_관급-(수배전반) 3" xfId="2530" xr:uid="{00000000-0005-0000-0000-0000E1090000}"/>
    <cellStyle name="1_시민계략공사_관급-등기구" xfId="2531" xr:uid="{00000000-0005-0000-0000-0000E2090000}"/>
    <cellStyle name="1_시민계략공사_관급-등기구 2" xfId="2532" xr:uid="{00000000-0005-0000-0000-0000E3090000}"/>
    <cellStyle name="1_시민계략공사_관급-등기구 3" xfId="2533" xr:uid="{00000000-0005-0000-0000-0000E4090000}"/>
    <cellStyle name="1_시민계략공사_관급-태양광등기구" xfId="2534" xr:uid="{00000000-0005-0000-0000-0000E5090000}"/>
    <cellStyle name="1_시민계략공사_관급-태양광등기구 2" xfId="2535" xr:uid="{00000000-0005-0000-0000-0000E6090000}"/>
    <cellStyle name="1_시민계략공사_관급-태양광등기구 3" xfId="2536" xr:uid="{00000000-0005-0000-0000-0000E7090000}"/>
    <cellStyle name="1_시민계략공사_광양중동중학교실증축공사(전기)-4월10일한번더" xfId="2537" xr:uid="{00000000-0005-0000-0000-0000E8090000}"/>
    <cellStyle name="1_시민계략공사_광양중동중학교실증축공사(전기)-4월10일한번더 2" xfId="2538" xr:uid="{00000000-0005-0000-0000-0000E9090000}"/>
    <cellStyle name="1_시민계략공사_광양중동중학교실증축공사(전기)-4월10일한번더 3" xfId="2539" xr:uid="{00000000-0005-0000-0000-0000EA090000}"/>
    <cellStyle name="1_시민계략공사_무안연꽃방죽(4월9일)한번더" xfId="2540" xr:uid="{00000000-0005-0000-0000-0000EB090000}"/>
    <cellStyle name="1_시민계략공사_무안연꽃방죽(4월9일)한번더 2" xfId="2541" xr:uid="{00000000-0005-0000-0000-0000EC090000}"/>
    <cellStyle name="1_시민계략공사_무안연꽃방죽(4월9일)한번더 3" xfId="2542" xr:uid="{00000000-0005-0000-0000-0000ED090000}"/>
    <cellStyle name="1_시민계략공사_백운초 신축 전기공사-납품-" xfId="2543" xr:uid="{00000000-0005-0000-0000-0000EE090000}"/>
    <cellStyle name="1_시민계략공사_백운초 신축 전기공사-납품- 2" xfId="2544" xr:uid="{00000000-0005-0000-0000-0000EF090000}"/>
    <cellStyle name="1_시민계략공사_백운초 신축 전기공사-납품- 3" xfId="2545" xr:uid="{00000000-0005-0000-0000-0000F0090000}"/>
    <cellStyle name="1_시민계략공사_보일약국~순국비간 도로개설 가로등설치공사" xfId="2546" xr:uid="{00000000-0005-0000-0000-0000F1090000}"/>
    <cellStyle name="1_시민계략공사_보일약국~순국비간 도로개설 가로등설치공사 2" xfId="2547" xr:uid="{00000000-0005-0000-0000-0000F2090000}"/>
    <cellStyle name="1_시민계략공사_보일약국~순국비간 도로개설 가로등설치공사 3" xfId="2548" xr:uid="{00000000-0005-0000-0000-0000F3090000}"/>
    <cellStyle name="1_시민계략공사_복지관 부하계산서" xfId="2549" xr:uid="{00000000-0005-0000-0000-0000F4090000}"/>
    <cellStyle name="1_시민계략공사_복지관 부하계산서_00-설계서,원가계산,내역서" xfId="2550" xr:uid="{00000000-0005-0000-0000-0000F5090000}"/>
    <cellStyle name="1_시민계략공사_복지관 부하계산서_내역서(전기)" xfId="2551" xr:uid="{00000000-0005-0000-0000-0000F6090000}"/>
    <cellStyle name="1_시민계략공사_복지관 부하계산서_내역서(전기)_00-설계서,원가계산,내역서" xfId="2552" xr:uid="{00000000-0005-0000-0000-0000F7090000}"/>
    <cellStyle name="1_시민계략공사_봉산면보건지소신축공사(전기)11월30일변경" xfId="2553" xr:uid="{00000000-0005-0000-0000-0000F8090000}"/>
    <cellStyle name="1_시민계략공사_봉산면보건지소신축공사(전기)11월30일변경 2" xfId="2554" xr:uid="{00000000-0005-0000-0000-0000F9090000}"/>
    <cellStyle name="1_시민계략공사_봉산면보건지소신축공사(전기)11월30일변경 3" xfId="2555" xr:uid="{00000000-0005-0000-0000-0000FA090000}"/>
    <cellStyle name="1_시민계략공사_북문로(팔마로)가로등설치공사(변경)3월11일" xfId="2556" xr:uid="{00000000-0005-0000-0000-0000FB090000}"/>
    <cellStyle name="1_시민계략공사_북문로(팔마로)가로등설치공사(변경)3월11일 2" xfId="2557" xr:uid="{00000000-0005-0000-0000-0000FC090000}"/>
    <cellStyle name="1_시민계략공사_북문로(팔마로)가로등설치공사(변경)3월11일 3" xfId="2558" xr:uid="{00000000-0005-0000-0000-0000FD090000}"/>
    <cellStyle name="1_시민계략공사_북문로(팔마로)가로등설치공사NO34번까지시행분" xfId="2559" xr:uid="{00000000-0005-0000-0000-0000FE090000}"/>
    <cellStyle name="1_시민계략공사_북문로(팔마로)가로등설치공사NO34번까지시행분 2" xfId="2560" xr:uid="{00000000-0005-0000-0000-0000FF090000}"/>
    <cellStyle name="1_시민계략공사_북문로(팔마로)가로등설치공사NO34번까지시행분 3" xfId="2561" xr:uid="{00000000-0005-0000-0000-0000000A0000}"/>
    <cellStyle name="1_시민계략공사_북문로(팔마로)교통신호등설치공사NO34번까지" xfId="2562" xr:uid="{00000000-0005-0000-0000-0000010A0000}"/>
    <cellStyle name="1_시민계략공사_북문로(팔마로)교통신호등설치공사NO34번까지 2" xfId="2563" xr:uid="{00000000-0005-0000-0000-0000020A0000}"/>
    <cellStyle name="1_시민계략공사_북문로(팔마로)교통신호등설치공사NO34번까지 3" xfId="2564" xr:uid="{00000000-0005-0000-0000-0000030A0000}"/>
    <cellStyle name="1_시민계략공사_북문팔마로확포장공사가로등" xfId="2565" xr:uid="{00000000-0005-0000-0000-0000040A0000}"/>
    <cellStyle name="1_시민계략공사_북문팔마로확포장공사가로등 2" xfId="2566" xr:uid="{00000000-0005-0000-0000-0000050A0000}"/>
    <cellStyle name="1_시민계략공사_북문팔마로확포장공사가로등 3" xfId="2567" xr:uid="{00000000-0005-0000-0000-0000060A0000}"/>
    <cellStyle name="1_시민계략공사_비상부하,발전기용량 계산서" xfId="2568" xr:uid="{00000000-0005-0000-0000-0000070A0000}"/>
    <cellStyle name="1_시민계략공사_비상부하,발전기용량 계산서_00-설계서,원가계산,내역서" xfId="2569" xr:uid="{00000000-0005-0000-0000-0000080A0000}"/>
    <cellStyle name="1_시민계략공사_비상부하,발전기용량 계산서_내역서(전기)" xfId="2570" xr:uid="{00000000-0005-0000-0000-0000090A0000}"/>
    <cellStyle name="1_시민계략공사_비상부하,발전기용량 계산서_내역서(전기)_00-설계서,원가계산,내역서" xfId="2571" xr:uid="{00000000-0005-0000-0000-00000A0A0000}"/>
    <cellStyle name="1_시민계략공사_여수오동도분수(사급)R2" xfId="2572" xr:uid="{00000000-0005-0000-0000-00000B0A0000}"/>
    <cellStyle name="1_시민계략공사_여수오동도분수(사급)R2 2" xfId="2573" xr:uid="{00000000-0005-0000-0000-00000C0A0000}"/>
    <cellStyle name="1_시민계략공사_여수오동도분수(사급)R2 3" xfId="2574" xr:uid="{00000000-0005-0000-0000-00000D0A0000}"/>
    <cellStyle name="1_시민계략공사_오동도음악분수수전설비공사(1차전기)" xfId="2575" xr:uid="{00000000-0005-0000-0000-00000E0A0000}"/>
    <cellStyle name="1_시민계략공사_율촌중학교심야전기" xfId="2576" xr:uid="{00000000-0005-0000-0000-00000F0A0000}"/>
    <cellStyle name="1_시민계략공사_율촌중학교심야전기 2" xfId="2577" xr:uid="{00000000-0005-0000-0000-0000100A0000}"/>
    <cellStyle name="1_시민계략공사_율촌중학교심야전기 3" xfId="2578" xr:uid="{00000000-0005-0000-0000-0000110A0000}"/>
    <cellStyle name="1_시민계략공사_전기-한남" xfId="2579" xr:uid="{00000000-0005-0000-0000-0000120A0000}"/>
    <cellStyle name="1_시민계략공사_조도계산서" xfId="2580" xr:uid="{00000000-0005-0000-0000-0000130A0000}"/>
    <cellStyle name="1_시민계략공사_조도계산서_00-설계서,원가계산,내역서" xfId="2581" xr:uid="{00000000-0005-0000-0000-0000140A0000}"/>
    <cellStyle name="1_시민계략공사_조도계산서_내역서(전기)" xfId="2582" xr:uid="{00000000-0005-0000-0000-0000150A0000}"/>
    <cellStyle name="1_시민계략공사_조도계산서_내역서(전기)_00-설계서,원가계산,내역서" xfId="2583" xr:uid="{00000000-0005-0000-0000-0000160A0000}"/>
    <cellStyle name="1_연안권역특화거리조성을위한음악분수대설치R6(제출EBS)-설비,전기,관리실" xfId="2584" xr:uid="{00000000-0005-0000-0000-0000170A0000}"/>
    <cellStyle name="1_이문동(철거수량산출서)-1" xfId="2585" xr:uid="{00000000-0005-0000-0000-0000180A0000}"/>
    <cellStyle name="1_이문동구간중랑천변녹화사업(수량산출서, 071127)-최종" xfId="2586" xr:uid="{00000000-0005-0000-0000-0000190A0000}"/>
    <cellStyle name="1_일위대가공식2004" xfId="2587" xr:uid="{00000000-0005-0000-0000-00001A0A0000}"/>
    <cellStyle name="1_일위대가공식2005" xfId="2588" xr:uid="{00000000-0005-0000-0000-00001B0A0000}"/>
    <cellStyle name="1_폐기물" xfId="2589" xr:uid="{00000000-0005-0000-0000-00001C0A0000}"/>
    <cellStyle name="1_폐기물집계" xfId="2590" xr:uid="{00000000-0005-0000-0000-00001D0A0000}"/>
    <cellStyle name="1_현충묘지-수량산출서" xfId="2591" xr:uid="{00000000-0005-0000-0000-00001E0A0000}"/>
    <cellStyle name="11" xfId="2592" xr:uid="{00000000-0005-0000-0000-00001F0A0000}"/>
    <cellStyle name="111" xfId="2593" xr:uid="{00000000-0005-0000-0000-0000200A0000}"/>
    <cellStyle name="2" xfId="2594" xr:uid="{00000000-0005-0000-0000-0000210A0000}"/>
    <cellStyle name="2_laroux" xfId="2595" xr:uid="{00000000-0005-0000-0000-0000220A0000}"/>
    <cellStyle name="2_laroux_ATC-YOON1" xfId="2596" xr:uid="{00000000-0005-0000-0000-0000230A0000}"/>
    <cellStyle name="2_단가조사표" xfId="2597" xr:uid="{00000000-0005-0000-0000-0000240A0000}"/>
    <cellStyle name="2_단가조사표_1011소각" xfId="2598" xr:uid="{00000000-0005-0000-0000-0000250A0000}"/>
    <cellStyle name="2_단가조사표_1113교~1" xfId="2599" xr:uid="{00000000-0005-0000-0000-0000260A0000}"/>
    <cellStyle name="2_단가조사표_121내역" xfId="2600" xr:uid="{00000000-0005-0000-0000-0000270A0000}"/>
    <cellStyle name="2_단가조사표_객토량" xfId="2601" xr:uid="{00000000-0005-0000-0000-0000280A0000}"/>
    <cellStyle name="2_단가조사표_교통센~1" xfId="2602" xr:uid="{00000000-0005-0000-0000-0000290A0000}"/>
    <cellStyle name="2_단가조사표_교통센터412" xfId="2603" xr:uid="{00000000-0005-0000-0000-00002A0A0000}"/>
    <cellStyle name="2_단가조사표_교통수" xfId="2604" xr:uid="{00000000-0005-0000-0000-00002B0A0000}"/>
    <cellStyle name="2_단가조사표_교통수량산출서" xfId="2605" xr:uid="{00000000-0005-0000-0000-00002C0A0000}"/>
    <cellStyle name="2_단가조사표_구조물대가 (2)" xfId="2606" xr:uid="{00000000-0005-0000-0000-00002D0A0000}"/>
    <cellStyle name="2_단가조사표_내역서 (2)" xfId="2607" xr:uid="{00000000-0005-0000-0000-00002E0A0000}"/>
    <cellStyle name="2_단가조사표_대전관저지구" xfId="2608" xr:uid="{00000000-0005-0000-0000-00002F0A0000}"/>
    <cellStyle name="2_단가조사표_동측지~1" xfId="2609" xr:uid="{00000000-0005-0000-0000-0000300A0000}"/>
    <cellStyle name="2_단가조사표_동측지원422" xfId="2610" xr:uid="{00000000-0005-0000-0000-0000310A0000}"/>
    <cellStyle name="2_단가조사표_동측지원512" xfId="2611" xr:uid="{00000000-0005-0000-0000-0000320A0000}"/>
    <cellStyle name="2_단가조사표_동측지원524" xfId="2612" xr:uid="{00000000-0005-0000-0000-0000330A0000}"/>
    <cellStyle name="2_단가조사표_부대422" xfId="2613" xr:uid="{00000000-0005-0000-0000-0000340A0000}"/>
    <cellStyle name="2_단가조사표_부대시설" xfId="2614" xr:uid="{00000000-0005-0000-0000-0000350A0000}"/>
    <cellStyle name="2_단가조사표_소각수~1" xfId="2615" xr:uid="{00000000-0005-0000-0000-0000360A0000}"/>
    <cellStyle name="2_단가조사표_소각수내역서" xfId="2616" xr:uid="{00000000-0005-0000-0000-0000370A0000}"/>
    <cellStyle name="2_단가조사표_소각수목2" xfId="2617" xr:uid="{00000000-0005-0000-0000-0000380A0000}"/>
    <cellStyle name="2_단가조사표_수량산출서 (2)" xfId="2618" xr:uid="{00000000-0005-0000-0000-0000390A0000}"/>
    <cellStyle name="2_단가조사표_엑스포~1" xfId="2619" xr:uid="{00000000-0005-0000-0000-00003A0A0000}"/>
    <cellStyle name="2_단가조사표_엑스포한빛1" xfId="2620" xr:uid="{00000000-0005-0000-0000-00003B0A0000}"/>
    <cellStyle name="2_단가조사표_여객터미널331" xfId="2621" xr:uid="{00000000-0005-0000-0000-00003C0A0000}"/>
    <cellStyle name="2_단가조사표_여객터미널513" xfId="2622" xr:uid="{00000000-0005-0000-0000-00003D0A0000}"/>
    <cellStyle name="2_단가조사표_여객터미널629" xfId="2623" xr:uid="{00000000-0005-0000-0000-00003E0A0000}"/>
    <cellStyle name="2_단가조사표_외곽도로616" xfId="2624" xr:uid="{00000000-0005-0000-0000-00003F0A0000}"/>
    <cellStyle name="2_단가조사표_원가계~1" xfId="2625" xr:uid="{00000000-0005-0000-0000-0000400A0000}"/>
    <cellStyle name="2_단가조사표_유기질" xfId="2626" xr:uid="{00000000-0005-0000-0000-0000410A0000}"/>
    <cellStyle name="2_단가조사표_자재조서 (2)" xfId="2627" xr:uid="{00000000-0005-0000-0000-0000420A0000}"/>
    <cellStyle name="2_단가조사표_총괄내역" xfId="2628" xr:uid="{00000000-0005-0000-0000-0000430A0000}"/>
    <cellStyle name="2_단가조사표_총괄내역 (2)" xfId="2629" xr:uid="{00000000-0005-0000-0000-0000440A0000}"/>
    <cellStyle name="2_단가조사표_터미널도로403" xfId="2630" xr:uid="{00000000-0005-0000-0000-0000450A0000}"/>
    <cellStyle name="2_단가조사표_터미널도로429" xfId="2631" xr:uid="{00000000-0005-0000-0000-0000460A0000}"/>
    <cellStyle name="2_단가조사표_포장일위" xfId="2632" xr:uid="{00000000-0005-0000-0000-0000470A0000}"/>
    <cellStyle name="2)" xfId="2633" xr:uid="{00000000-0005-0000-0000-0000480A0000}"/>
    <cellStyle name="20% - 강조색1 2" xfId="2634" xr:uid="{00000000-0005-0000-0000-0000490A0000}"/>
    <cellStyle name="2자리" xfId="2635" xr:uid="{00000000-0005-0000-0000-00004A0A0000}"/>
    <cellStyle name="A¨­￠￢￠O [0]_AO¨uRCN¡¾U " xfId="2636" xr:uid="{00000000-0005-0000-0000-00004B0A0000}"/>
    <cellStyle name="A¨­￠￢￠O_AO¨uRCN¡¾U " xfId="2637" xr:uid="{00000000-0005-0000-0000-00004C0A0000}"/>
    <cellStyle name="AeE­ [0]_ 2ÆAAþº° " xfId="2638" xr:uid="{00000000-0005-0000-0000-00004D0A0000}"/>
    <cellStyle name="ÅëÈ­ [0]_¸ðÇü¸·" xfId="2639" xr:uid="{00000000-0005-0000-0000-00004E0A0000}"/>
    <cellStyle name="AeE­ [0]_95³aAN°y¼o·R " xfId="2640" xr:uid="{00000000-0005-0000-0000-00004F0A0000}"/>
    <cellStyle name="ÅëÈ­ [0]_Á¤»ê¼­°©Áö" xfId="2641" xr:uid="{00000000-0005-0000-0000-0000500A0000}"/>
    <cellStyle name="AeE­ [0]_A¾CO½A¼³ " xfId="2642" xr:uid="{00000000-0005-0000-0000-0000510A0000}"/>
    <cellStyle name="AeE­_ 2ÆAAþº° " xfId="2643" xr:uid="{00000000-0005-0000-0000-0000520A0000}"/>
    <cellStyle name="ÅëÈ­_¸ðÇü¸·" xfId="2644" xr:uid="{00000000-0005-0000-0000-0000530A0000}"/>
    <cellStyle name="AeE­_95³aAN°y¼o·R " xfId="2645" xr:uid="{00000000-0005-0000-0000-0000540A0000}"/>
    <cellStyle name="ÅëÈ­_Á¤»ê¼­°©Áö" xfId="2646" xr:uid="{00000000-0005-0000-0000-0000550A0000}"/>
    <cellStyle name="AeE­_A¾CO½A¼³ " xfId="2647" xr:uid="{00000000-0005-0000-0000-0000560A0000}"/>
    <cellStyle name="AeE¡ⓒ [0]_AO¨uRCN¡¾U " xfId="2648" xr:uid="{00000000-0005-0000-0000-0000570A0000}"/>
    <cellStyle name="AeE¡ⓒ_AO¨uRCN¡¾U " xfId="2649" xr:uid="{00000000-0005-0000-0000-0000580A0000}"/>
    <cellStyle name="ALIGNMENT" xfId="2650" xr:uid="{00000000-0005-0000-0000-0000590A0000}"/>
    <cellStyle name="args.style" xfId="2651" xr:uid="{00000000-0005-0000-0000-00005A0A0000}"/>
    <cellStyle name="AÞ¸¶ [0]_ 2ÆAAþº° " xfId="2652" xr:uid="{00000000-0005-0000-0000-00005B0A0000}"/>
    <cellStyle name="ÄÞ¸¶ [0]_¸ðÇü¸·" xfId="2653" xr:uid="{00000000-0005-0000-0000-00005C0A0000}"/>
    <cellStyle name="AÞ¸¶ [0]_95³aAN°y¼o·R " xfId="2654" xr:uid="{00000000-0005-0000-0000-00005D0A0000}"/>
    <cellStyle name="ÄÞ¸¶ [0]_Á¤»ê¼­°©Áö" xfId="2655" xr:uid="{00000000-0005-0000-0000-00005E0A0000}"/>
    <cellStyle name="AÞ¸¶ [0]_A¾CO½A¼³ " xfId="2656" xr:uid="{00000000-0005-0000-0000-00005F0A0000}"/>
    <cellStyle name="AÞ¸¶_ 2ÆAAþº° " xfId="2657" xr:uid="{00000000-0005-0000-0000-0000600A0000}"/>
    <cellStyle name="ÄÞ¸¶_¸ðÇü¸·" xfId="2658" xr:uid="{00000000-0005-0000-0000-0000610A0000}"/>
    <cellStyle name="AÞ¸¶_95³aAN°y¼o·R " xfId="2659" xr:uid="{00000000-0005-0000-0000-0000620A0000}"/>
    <cellStyle name="ÄÞ¸¶_Á¤»ê¼­°©Áö" xfId="2660" xr:uid="{00000000-0005-0000-0000-0000630A0000}"/>
    <cellStyle name="AÞ¸¶_A¾CO½A¼³ " xfId="2661" xr:uid="{00000000-0005-0000-0000-0000640A0000}"/>
    <cellStyle name="C¡IA¨ª_¡ic¨u¡A¨￢I¨￢¡Æ AN¡Æe " xfId="2662" xr:uid="{00000000-0005-0000-0000-0000650A0000}"/>
    <cellStyle name="C￥AØ_ °u¸R½CCa1" xfId="2663" xr:uid="{00000000-0005-0000-0000-0000660A0000}"/>
    <cellStyle name="Ç¥ÁØ_»óºÎ¼ö·®Áý°è " xfId="2664" xr:uid="{00000000-0005-0000-0000-0000670A0000}"/>
    <cellStyle name="C￥AØ_°­´c (2)" xfId="2665" xr:uid="{00000000-0005-0000-0000-0000680A0000}"/>
    <cellStyle name="Ç¥ÁØ_°­´ç (2)" xfId="2666" xr:uid="{00000000-0005-0000-0000-0000690A0000}"/>
    <cellStyle name="C￥AØ_¼³°e¿e¿ª" xfId="2667" xr:uid="{00000000-0005-0000-0000-00006A0A0000}"/>
    <cellStyle name="Ç¥ÁØ_¼öÀÍ¼º " xfId="2668" xr:uid="{00000000-0005-0000-0000-00006B0A0000}"/>
    <cellStyle name="C￥AØ_95³aAN°y¼o·R " xfId="2669" xr:uid="{00000000-0005-0000-0000-00006C0A0000}"/>
    <cellStyle name="Calc Currency (0)" xfId="2670" xr:uid="{00000000-0005-0000-0000-00006D0A0000}"/>
    <cellStyle name="category" xfId="2671" xr:uid="{00000000-0005-0000-0000-00006E0A0000}"/>
    <cellStyle name="CIAIÆU¸μAⓒ" xfId="2672" xr:uid="{00000000-0005-0000-0000-00006F0A0000}"/>
    <cellStyle name="comma zerodec" xfId="2673" xr:uid="{00000000-0005-0000-0000-0000700A0000}"/>
    <cellStyle name="Comma0" xfId="2674" xr:uid="{00000000-0005-0000-0000-0000710A0000}"/>
    <cellStyle name="Copied" xfId="2675" xr:uid="{00000000-0005-0000-0000-0000720A0000}"/>
    <cellStyle name="COST1" xfId="2676" xr:uid="{00000000-0005-0000-0000-0000730A0000}"/>
    <cellStyle name="Curre~cy [0]_MATERAL2" xfId="2677" xr:uid="{00000000-0005-0000-0000-0000740A0000}"/>
    <cellStyle name="Curren?_x0012_퐀_x0017_?" xfId="2678" xr:uid="{00000000-0005-0000-0000-0000750A0000}"/>
    <cellStyle name="Currency [0]͢laroux_1" xfId="2679" xr:uid="{00000000-0005-0000-0000-0000760A0000}"/>
    <cellStyle name="currency-$" xfId="2680" xr:uid="{00000000-0005-0000-0000-0000770A0000}"/>
    <cellStyle name="Currency0" xfId="2681" xr:uid="{00000000-0005-0000-0000-0000780A0000}"/>
    <cellStyle name="Currency1" xfId="2682" xr:uid="{00000000-0005-0000-0000-0000790A0000}"/>
    <cellStyle name="Date" xfId="2683" xr:uid="{00000000-0005-0000-0000-00007A0A0000}"/>
    <cellStyle name="Dezimal [0]_laroux" xfId="2684" xr:uid="{00000000-0005-0000-0000-00007B0A0000}"/>
    <cellStyle name="Dezimal_laroux" xfId="2685" xr:uid="{00000000-0005-0000-0000-00007C0A0000}"/>
    <cellStyle name="Dollar (zero dec)" xfId="2686" xr:uid="{00000000-0005-0000-0000-00007D0A0000}"/>
    <cellStyle name="EA" xfId="2687" xr:uid="{00000000-0005-0000-0000-00007E0A0000}"/>
    <cellStyle name="Entered" xfId="2688" xr:uid="{00000000-0005-0000-0000-00007F0A0000}"/>
    <cellStyle name="ÊÝ [0.00]_Region Orders (2)" xfId="2689" xr:uid="{00000000-0005-0000-0000-0000800A0000}"/>
    <cellStyle name="ÊÝ_Region Orders (2)" xfId="2690" xr:uid="{00000000-0005-0000-0000-0000810A0000}"/>
    <cellStyle name="F2" xfId="2691" xr:uid="{00000000-0005-0000-0000-0000820A0000}"/>
    <cellStyle name="F3" xfId="2692" xr:uid="{00000000-0005-0000-0000-0000830A0000}"/>
    <cellStyle name="F4" xfId="2693" xr:uid="{00000000-0005-0000-0000-0000840A0000}"/>
    <cellStyle name="F5" xfId="2694" xr:uid="{00000000-0005-0000-0000-0000850A0000}"/>
    <cellStyle name="F6" xfId="2695" xr:uid="{00000000-0005-0000-0000-0000860A0000}"/>
    <cellStyle name="F7" xfId="2696" xr:uid="{00000000-0005-0000-0000-0000870A0000}"/>
    <cellStyle name="F8" xfId="2697" xr:uid="{00000000-0005-0000-0000-0000880A0000}"/>
    <cellStyle name="Fixed" xfId="2698" xr:uid="{00000000-0005-0000-0000-0000890A0000}"/>
    <cellStyle name="Grey" xfId="2699" xr:uid="{00000000-0005-0000-0000-00008A0A0000}"/>
    <cellStyle name="H1" xfId="2700" xr:uid="{00000000-0005-0000-0000-00008B0A0000}"/>
    <cellStyle name="H2" xfId="2701" xr:uid="{00000000-0005-0000-0000-00008C0A0000}"/>
    <cellStyle name="HEADER" xfId="2702" xr:uid="{00000000-0005-0000-0000-00008D0A0000}"/>
    <cellStyle name="Header1" xfId="2703" xr:uid="{00000000-0005-0000-0000-00008E0A0000}"/>
    <cellStyle name="Header2" xfId="2704" xr:uid="{00000000-0005-0000-0000-00008F0A0000}"/>
    <cellStyle name="Heading 1" xfId="2705" xr:uid="{00000000-0005-0000-0000-0000900A0000}"/>
    <cellStyle name="Heading 2" xfId="2706" xr:uid="{00000000-0005-0000-0000-0000910A0000}"/>
    <cellStyle name="Heading1" xfId="2707" xr:uid="{00000000-0005-0000-0000-0000920A0000}"/>
    <cellStyle name="Heading2" xfId="2708" xr:uid="{00000000-0005-0000-0000-0000930A0000}"/>
    <cellStyle name="Input [yellow]" xfId="2709" xr:uid="{00000000-0005-0000-0000-0000940A0000}"/>
    <cellStyle name="Input Cells" xfId="2710" xr:uid="{00000000-0005-0000-0000-0000950A0000}"/>
    <cellStyle name="kg" xfId="2711" xr:uid="{00000000-0005-0000-0000-0000960A0000}"/>
    <cellStyle name="Linked Cells" xfId="2712" xr:uid="{00000000-0005-0000-0000-0000970A0000}"/>
    <cellStyle name="M" xfId="2713" xr:uid="{00000000-0005-0000-0000-0000980A0000}"/>
    <cellStyle name="M2" xfId="2714" xr:uid="{00000000-0005-0000-0000-0000990A0000}"/>
    <cellStyle name="M3" xfId="2715" xr:uid="{00000000-0005-0000-0000-00009A0A0000}"/>
    <cellStyle name="Milliers [0]_Arabian Spec" xfId="2716" xr:uid="{00000000-0005-0000-0000-00009B0A0000}"/>
    <cellStyle name="Milliers_Arabian Spec" xfId="2717" xr:uid="{00000000-0005-0000-0000-00009C0A0000}"/>
    <cellStyle name="mma_CASH &amp; DSO" xfId="2718" xr:uid="{00000000-0005-0000-0000-00009D0A0000}"/>
    <cellStyle name="Model" xfId="2719" xr:uid="{00000000-0005-0000-0000-00009E0A0000}"/>
    <cellStyle name="Mon?aire [0]_Arabian Spec" xfId="2720" xr:uid="{00000000-0005-0000-0000-00009F0A0000}"/>
    <cellStyle name="Mon?aire_Arabian Spec" xfId="2721" xr:uid="{00000000-0005-0000-0000-0000A00A0000}"/>
    <cellStyle name="Monétaire [0]_CTC" xfId="2722" xr:uid="{00000000-0005-0000-0000-0000A10A0000}"/>
    <cellStyle name="Monétaire_CTC" xfId="2723" xr:uid="{00000000-0005-0000-0000-0000A20A0000}"/>
    <cellStyle name="no dec" xfId="2724" xr:uid="{00000000-0005-0000-0000-0000A30A0000}"/>
    <cellStyle name="Normal" xfId="0" builtinId="0"/>
    <cellStyle name="Normal - Style1" xfId="2725" xr:uid="{00000000-0005-0000-0000-0000A50A0000}"/>
    <cellStyle name="Normal - 유형1" xfId="2726" xr:uid="{00000000-0005-0000-0000-0000A60A0000}"/>
    <cellStyle name="Œ…?æ맖?e [0.00]_laroux" xfId="2727" xr:uid="{00000000-0005-0000-0000-0000A70A0000}"/>
    <cellStyle name="Œ…?æ맖?e_laroux" xfId="2728" xr:uid="{00000000-0005-0000-0000-0000A80A0000}"/>
    <cellStyle name="oft Excel]_x000d__x000a_Comment=The open=/f lines load custom functions into the Paste Function list._x000d__x000a_Maximized=3_x000d__x000a_AutoFormat=" xfId="2729" xr:uid="{00000000-0005-0000-0000-0000A90A0000}"/>
    <cellStyle name="oh" xfId="2730" xr:uid="{00000000-0005-0000-0000-0000AA0A0000}"/>
    <cellStyle name="per.style" xfId="2731" xr:uid="{00000000-0005-0000-0000-0000AB0A0000}"/>
    <cellStyle name="Percent [2]" xfId="2732" xr:uid="{00000000-0005-0000-0000-0000AC0A0000}"/>
    <cellStyle name="pricing" xfId="2733" xr:uid="{00000000-0005-0000-0000-0000AD0A0000}"/>
    <cellStyle name="PSChar" xfId="2734" xr:uid="{00000000-0005-0000-0000-0000AE0A0000}"/>
    <cellStyle name="RevList" xfId="2735" xr:uid="{00000000-0005-0000-0000-0000AF0A0000}"/>
    <cellStyle name="s]_x000d__x000a_run=c:\Hedgehog\app31.exe_x000d__x000a_spooler=yes_x000d__x000a_load=_x000d__x000a_run=_x000d__x000a_Beep=yes_x000d__x000a_NullPort=None_x000d__x000a_BorderWidth=3_x000d__x000a_CursorBlinkRate=530_x000d__x000a_D" xfId="2736" xr:uid="{00000000-0005-0000-0000-0000B00A0000}"/>
    <cellStyle name="sh" xfId="2737" xr:uid="{00000000-0005-0000-0000-0000B10A0000}"/>
    <cellStyle name="ssh" xfId="2738" xr:uid="{00000000-0005-0000-0000-0000B20A0000}"/>
    <cellStyle name="STANDARD" xfId="2739" xr:uid="{00000000-0005-0000-0000-0000B30A0000}"/>
    <cellStyle name="STD" xfId="2740" xr:uid="{00000000-0005-0000-0000-0000B40A0000}"/>
    <cellStyle name="subhead" xfId="2741" xr:uid="{00000000-0005-0000-0000-0000B50A0000}"/>
    <cellStyle name="Subtotal" xfId="2742" xr:uid="{00000000-0005-0000-0000-0000B60A0000}"/>
    <cellStyle name="Title" xfId="2743" xr:uid="{00000000-0005-0000-0000-0000B70A0000}"/>
    <cellStyle name="title [1]" xfId="2744" xr:uid="{00000000-0005-0000-0000-0000B80A0000}"/>
    <cellStyle name="title [2]" xfId="2745" xr:uid="{00000000-0005-0000-0000-0000B90A0000}"/>
    <cellStyle name="Total" xfId="2746" xr:uid="{00000000-0005-0000-0000-0000BA0A0000}"/>
    <cellStyle name="UM" xfId="2747" xr:uid="{00000000-0005-0000-0000-0000BB0A0000}"/>
    <cellStyle name="W_Pacific Region P&amp;L" xfId="2748" xr:uid="{00000000-0005-0000-0000-0000BC0A0000}"/>
    <cellStyle name="W?rung [0]_laroux" xfId="2749" xr:uid="{00000000-0005-0000-0000-0000BD0A0000}"/>
    <cellStyle name="W?rung_laroux" xfId="2750" xr:uid="{00000000-0005-0000-0000-0000BE0A0000}"/>
    <cellStyle name="μU¿¡ ¿A´A CIAIÆU¸μAⓒ" xfId="2751" xr:uid="{00000000-0005-0000-0000-0000BF0A0000}"/>
    <cellStyle name="가운데" xfId="2752" xr:uid="{00000000-0005-0000-0000-0000C00A0000}"/>
    <cellStyle name="고정소숫점" xfId="2753" xr:uid="{00000000-0005-0000-0000-0000C10A0000}"/>
    <cellStyle name="고정출력1" xfId="2754" xr:uid="{00000000-0005-0000-0000-0000C20A0000}"/>
    <cellStyle name="고정출력2" xfId="2755" xr:uid="{00000000-0005-0000-0000-0000C30A0000}"/>
    <cellStyle name="공사원가계산서(조경)" xfId="2756" xr:uid="{00000000-0005-0000-0000-0000C40A0000}"/>
    <cellStyle name="공종" xfId="2757" xr:uid="{00000000-0005-0000-0000-0000C50A0000}"/>
    <cellStyle name="괘선" xfId="2758" xr:uid="{00000000-0005-0000-0000-0000C60A0000}"/>
    <cellStyle name="괘선1" xfId="2759" xr:uid="{00000000-0005-0000-0000-0000C70A0000}"/>
    <cellStyle name="기계" xfId="2760" xr:uid="{00000000-0005-0000-0000-0000C80A0000}"/>
    <cellStyle name="기본숫자" xfId="2761" xr:uid="{00000000-0005-0000-0000-0000C90A0000}"/>
    <cellStyle name="날짜" xfId="2762" xr:uid="{00000000-0005-0000-0000-0000CA0A0000}"/>
    <cellStyle name="내역서" xfId="2763" xr:uid="{00000000-0005-0000-0000-0000CB0A0000}"/>
    <cellStyle name="네모제목" xfId="2764" xr:uid="{00000000-0005-0000-0000-0000CC0A0000}"/>
    <cellStyle name="달러" xfId="2765" xr:uid="{00000000-0005-0000-0000-0000CD0A0000}"/>
    <cellStyle name="뒤에 오는 하이퍼링크" xfId="2766" xr:uid="{00000000-0005-0000-0000-0000CE0A0000}"/>
    <cellStyle name="똿뗦먛귟 [0.00]_laroux" xfId="2767" xr:uid="{00000000-0005-0000-0000-0000CF0A0000}"/>
    <cellStyle name="똿뗦먛귟_laroux" xfId="2768" xr:uid="{00000000-0005-0000-0000-0000D00A0000}"/>
    <cellStyle name="마이너스키" xfId="2769" xr:uid="{00000000-0005-0000-0000-0000D10A0000}"/>
    <cellStyle name="믅됞 [0.00]_laroux" xfId="2770" xr:uid="{00000000-0005-0000-0000-0000D20A0000}"/>
    <cellStyle name="믅됞_laroux" xfId="2771" xr:uid="{00000000-0005-0000-0000-0000D30A0000}"/>
    <cellStyle name="배분" xfId="2772" xr:uid="{00000000-0005-0000-0000-0000D40A0000}"/>
    <cellStyle name="백" xfId="2773" xr:uid="{00000000-0005-0000-0000-0000D50A0000}"/>
    <cellStyle name="백_22bl3lot수량산출" xfId="2774" xr:uid="{00000000-0005-0000-0000-0000D60A0000}"/>
    <cellStyle name="백_22수량산출서(총괄)" xfId="2775" xr:uid="{00000000-0005-0000-0000-0000D70A0000}"/>
    <cellStyle name="백분율 [△1]" xfId="2776" xr:uid="{00000000-0005-0000-0000-0000D80A0000}"/>
    <cellStyle name="백분율 [△2]" xfId="2777" xr:uid="{00000000-0005-0000-0000-0000D90A0000}"/>
    <cellStyle name="백분율 [0]" xfId="2778" xr:uid="{00000000-0005-0000-0000-0000DA0A0000}"/>
    <cellStyle name="백분율 [2]" xfId="2779" xr:uid="{00000000-0005-0000-0000-0000DB0A0000}"/>
    <cellStyle name="백분율［△1］" xfId="2780" xr:uid="{00000000-0005-0000-0000-0000DC0A0000}"/>
    <cellStyle name="백분율［△2］" xfId="2781" xr:uid="{00000000-0005-0000-0000-0000DD0A0000}"/>
    <cellStyle name="병합 후 가운데 맞춤" xfId="2782" xr:uid="{00000000-0005-0000-0000-0000DE0A0000}"/>
    <cellStyle name="병합 후 가운데 정열" xfId="2783" xr:uid="{00000000-0005-0000-0000-0000DF0A0000}"/>
    <cellStyle name="분수" xfId="2784" xr:uid="{00000000-0005-0000-0000-0000E00A0000}"/>
    <cellStyle name="뷭?" xfId="2785" xr:uid="{00000000-0005-0000-0000-0000E10A0000}"/>
    <cellStyle name="빨간색" xfId="2786" xr:uid="{00000000-0005-0000-0000-0000E20A0000}"/>
    <cellStyle name="선택영역의 가운데로" xfId="2787" xr:uid="{00000000-0005-0000-0000-0000E30A0000}"/>
    <cellStyle name="설계서" xfId="2788" xr:uid="{00000000-0005-0000-0000-0000E40A0000}"/>
    <cellStyle name="수량1" xfId="2789" xr:uid="{00000000-0005-0000-0000-0000E50A0000}"/>
    <cellStyle name="수목명" xfId="2790" xr:uid="{00000000-0005-0000-0000-0000E60A0000}"/>
    <cellStyle name="숫자(R)" xfId="2791" xr:uid="{00000000-0005-0000-0000-0000E70A0000}"/>
    <cellStyle name="쉼표 [0] 2" xfId="2792" xr:uid="{00000000-0005-0000-0000-0000E80A0000}"/>
    <cellStyle name="쉼표 [0] 2 2" xfId="2793" xr:uid="{00000000-0005-0000-0000-0000E90A0000}"/>
    <cellStyle name="쉼표 [0] 2 3" xfId="2794" xr:uid="{00000000-0005-0000-0000-0000EA0A0000}"/>
    <cellStyle name="쉼표 [0] 3" xfId="2795" xr:uid="{00000000-0005-0000-0000-0000EB0A0000}"/>
    <cellStyle name="쉼표 [0] 3 2" xfId="2796" xr:uid="{00000000-0005-0000-0000-0000EC0A0000}"/>
    <cellStyle name="쉼표 [0] 3 3" xfId="2797" xr:uid="{00000000-0005-0000-0000-0000ED0A0000}"/>
    <cellStyle name="스타일 1" xfId="2798" xr:uid="{00000000-0005-0000-0000-0000EE0A0000}"/>
    <cellStyle name="스타일 1 2" xfId="2799" xr:uid="{00000000-0005-0000-0000-0000EF0A0000}"/>
    <cellStyle name="스타일 10" xfId="2800" xr:uid="{00000000-0005-0000-0000-0000F00A0000}"/>
    <cellStyle name="스타일 100" xfId="2801" xr:uid="{00000000-0005-0000-0000-0000F10A0000}"/>
    <cellStyle name="스타일 101" xfId="2802" xr:uid="{00000000-0005-0000-0000-0000F20A0000}"/>
    <cellStyle name="스타일 102" xfId="2803" xr:uid="{00000000-0005-0000-0000-0000F30A0000}"/>
    <cellStyle name="스타일 103" xfId="2804" xr:uid="{00000000-0005-0000-0000-0000F40A0000}"/>
    <cellStyle name="스타일 104" xfId="2805" xr:uid="{00000000-0005-0000-0000-0000F50A0000}"/>
    <cellStyle name="스타일 105" xfId="2806" xr:uid="{00000000-0005-0000-0000-0000F60A0000}"/>
    <cellStyle name="스타일 106" xfId="2807" xr:uid="{00000000-0005-0000-0000-0000F70A0000}"/>
    <cellStyle name="스타일 107" xfId="2808" xr:uid="{00000000-0005-0000-0000-0000F80A0000}"/>
    <cellStyle name="스타일 108" xfId="2809" xr:uid="{00000000-0005-0000-0000-0000F90A0000}"/>
    <cellStyle name="스타일 109" xfId="2810" xr:uid="{00000000-0005-0000-0000-0000FA0A0000}"/>
    <cellStyle name="스타일 11" xfId="2811" xr:uid="{00000000-0005-0000-0000-0000FB0A0000}"/>
    <cellStyle name="스타일 110" xfId="2812" xr:uid="{00000000-0005-0000-0000-0000FC0A0000}"/>
    <cellStyle name="스타일 111" xfId="2813" xr:uid="{00000000-0005-0000-0000-0000FD0A0000}"/>
    <cellStyle name="스타일 112" xfId="2814" xr:uid="{00000000-0005-0000-0000-0000FE0A0000}"/>
    <cellStyle name="스타일 113" xfId="2815" xr:uid="{00000000-0005-0000-0000-0000FF0A0000}"/>
    <cellStyle name="스타일 114" xfId="2816" xr:uid="{00000000-0005-0000-0000-0000000B0000}"/>
    <cellStyle name="스타일 115" xfId="2817" xr:uid="{00000000-0005-0000-0000-0000010B0000}"/>
    <cellStyle name="스타일 116" xfId="2818" xr:uid="{00000000-0005-0000-0000-0000020B0000}"/>
    <cellStyle name="스타일 117" xfId="2819" xr:uid="{00000000-0005-0000-0000-0000030B0000}"/>
    <cellStyle name="스타일 118" xfId="2820" xr:uid="{00000000-0005-0000-0000-0000040B0000}"/>
    <cellStyle name="스타일 119" xfId="2821" xr:uid="{00000000-0005-0000-0000-0000050B0000}"/>
    <cellStyle name="스타일 12" xfId="2822" xr:uid="{00000000-0005-0000-0000-0000060B0000}"/>
    <cellStyle name="스타일 120" xfId="2823" xr:uid="{00000000-0005-0000-0000-0000070B0000}"/>
    <cellStyle name="스타일 121" xfId="2824" xr:uid="{00000000-0005-0000-0000-0000080B0000}"/>
    <cellStyle name="스타일 122" xfId="2825" xr:uid="{00000000-0005-0000-0000-0000090B0000}"/>
    <cellStyle name="스타일 123" xfId="2826" xr:uid="{00000000-0005-0000-0000-00000A0B0000}"/>
    <cellStyle name="스타일 124" xfId="2827" xr:uid="{00000000-0005-0000-0000-00000B0B0000}"/>
    <cellStyle name="스타일 125" xfId="2828" xr:uid="{00000000-0005-0000-0000-00000C0B0000}"/>
    <cellStyle name="스타일 126" xfId="2829" xr:uid="{00000000-0005-0000-0000-00000D0B0000}"/>
    <cellStyle name="스타일 127" xfId="2830" xr:uid="{00000000-0005-0000-0000-00000E0B0000}"/>
    <cellStyle name="스타일 128" xfId="2831" xr:uid="{00000000-0005-0000-0000-00000F0B0000}"/>
    <cellStyle name="스타일 129" xfId="2832" xr:uid="{00000000-0005-0000-0000-0000100B0000}"/>
    <cellStyle name="스타일 13" xfId="2833" xr:uid="{00000000-0005-0000-0000-0000110B0000}"/>
    <cellStyle name="스타일 130" xfId="2834" xr:uid="{00000000-0005-0000-0000-0000120B0000}"/>
    <cellStyle name="스타일 131" xfId="2835" xr:uid="{00000000-0005-0000-0000-0000130B0000}"/>
    <cellStyle name="스타일 132" xfId="2836" xr:uid="{00000000-0005-0000-0000-0000140B0000}"/>
    <cellStyle name="스타일 133" xfId="2837" xr:uid="{00000000-0005-0000-0000-0000150B0000}"/>
    <cellStyle name="스타일 134" xfId="2838" xr:uid="{00000000-0005-0000-0000-0000160B0000}"/>
    <cellStyle name="스타일 135" xfId="2839" xr:uid="{00000000-0005-0000-0000-0000170B0000}"/>
    <cellStyle name="스타일 136" xfId="2840" xr:uid="{00000000-0005-0000-0000-0000180B0000}"/>
    <cellStyle name="스타일 137" xfId="2841" xr:uid="{00000000-0005-0000-0000-0000190B0000}"/>
    <cellStyle name="스타일 138" xfId="2842" xr:uid="{00000000-0005-0000-0000-00001A0B0000}"/>
    <cellStyle name="스타일 139" xfId="2843" xr:uid="{00000000-0005-0000-0000-00001B0B0000}"/>
    <cellStyle name="스타일 14" xfId="2844" xr:uid="{00000000-0005-0000-0000-00001C0B0000}"/>
    <cellStyle name="스타일 140" xfId="2845" xr:uid="{00000000-0005-0000-0000-00001D0B0000}"/>
    <cellStyle name="스타일 141" xfId="2846" xr:uid="{00000000-0005-0000-0000-00001E0B0000}"/>
    <cellStyle name="스타일 142" xfId="2847" xr:uid="{00000000-0005-0000-0000-00001F0B0000}"/>
    <cellStyle name="스타일 143" xfId="2848" xr:uid="{00000000-0005-0000-0000-0000200B0000}"/>
    <cellStyle name="스타일 144" xfId="2849" xr:uid="{00000000-0005-0000-0000-0000210B0000}"/>
    <cellStyle name="스타일 145" xfId="2850" xr:uid="{00000000-0005-0000-0000-0000220B0000}"/>
    <cellStyle name="스타일 146" xfId="2851" xr:uid="{00000000-0005-0000-0000-0000230B0000}"/>
    <cellStyle name="스타일 147" xfId="2852" xr:uid="{00000000-0005-0000-0000-0000240B0000}"/>
    <cellStyle name="스타일 148" xfId="2853" xr:uid="{00000000-0005-0000-0000-0000250B0000}"/>
    <cellStyle name="스타일 149" xfId="2854" xr:uid="{00000000-0005-0000-0000-0000260B0000}"/>
    <cellStyle name="스타일 15" xfId="2855" xr:uid="{00000000-0005-0000-0000-0000270B0000}"/>
    <cellStyle name="스타일 150" xfId="2856" xr:uid="{00000000-0005-0000-0000-0000280B0000}"/>
    <cellStyle name="스타일 151" xfId="2857" xr:uid="{00000000-0005-0000-0000-0000290B0000}"/>
    <cellStyle name="스타일 152" xfId="2858" xr:uid="{00000000-0005-0000-0000-00002A0B0000}"/>
    <cellStyle name="스타일 153" xfId="2859" xr:uid="{00000000-0005-0000-0000-00002B0B0000}"/>
    <cellStyle name="스타일 154" xfId="2860" xr:uid="{00000000-0005-0000-0000-00002C0B0000}"/>
    <cellStyle name="스타일 155" xfId="2861" xr:uid="{00000000-0005-0000-0000-00002D0B0000}"/>
    <cellStyle name="스타일 156" xfId="2862" xr:uid="{00000000-0005-0000-0000-00002E0B0000}"/>
    <cellStyle name="스타일 157" xfId="2863" xr:uid="{00000000-0005-0000-0000-00002F0B0000}"/>
    <cellStyle name="스타일 158" xfId="2864" xr:uid="{00000000-0005-0000-0000-0000300B0000}"/>
    <cellStyle name="스타일 159" xfId="2865" xr:uid="{00000000-0005-0000-0000-0000310B0000}"/>
    <cellStyle name="스타일 16" xfId="2866" xr:uid="{00000000-0005-0000-0000-0000320B0000}"/>
    <cellStyle name="스타일 160" xfId="2867" xr:uid="{00000000-0005-0000-0000-0000330B0000}"/>
    <cellStyle name="스타일 161" xfId="2868" xr:uid="{00000000-0005-0000-0000-0000340B0000}"/>
    <cellStyle name="스타일 162" xfId="2869" xr:uid="{00000000-0005-0000-0000-0000350B0000}"/>
    <cellStyle name="스타일 163" xfId="2870" xr:uid="{00000000-0005-0000-0000-0000360B0000}"/>
    <cellStyle name="스타일 164" xfId="2871" xr:uid="{00000000-0005-0000-0000-0000370B0000}"/>
    <cellStyle name="스타일 165" xfId="2872" xr:uid="{00000000-0005-0000-0000-0000380B0000}"/>
    <cellStyle name="스타일 166" xfId="2873" xr:uid="{00000000-0005-0000-0000-0000390B0000}"/>
    <cellStyle name="스타일 167" xfId="2874" xr:uid="{00000000-0005-0000-0000-00003A0B0000}"/>
    <cellStyle name="스타일 168" xfId="2875" xr:uid="{00000000-0005-0000-0000-00003B0B0000}"/>
    <cellStyle name="스타일 169" xfId="2876" xr:uid="{00000000-0005-0000-0000-00003C0B0000}"/>
    <cellStyle name="스타일 17" xfId="2877" xr:uid="{00000000-0005-0000-0000-00003D0B0000}"/>
    <cellStyle name="스타일 170" xfId="2878" xr:uid="{00000000-0005-0000-0000-00003E0B0000}"/>
    <cellStyle name="스타일 171" xfId="2879" xr:uid="{00000000-0005-0000-0000-00003F0B0000}"/>
    <cellStyle name="스타일 172" xfId="2880" xr:uid="{00000000-0005-0000-0000-0000400B0000}"/>
    <cellStyle name="스타일 173" xfId="2881" xr:uid="{00000000-0005-0000-0000-0000410B0000}"/>
    <cellStyle name="스타일 174" xfId="2882" xr:uid="{00000000-0005-0000-0000-0000420B0000}"/>
    <cellStyle name="스타일 175" xfId="2883" xr:uid="{00000000-0005-0000-0000-0000430B0000}"/>
    <cellStyle name="스타일 176" xfId="2884" xr:uid="{00000000-0005-0000-0000-0000440B0000}"/>
    <cellStyle name="스타일 177" xfId="2885" xr:uid="{00000000-0005-0000-0000-0000450B0000}"/>
    <cellStyle name="스타일 178" xfId="2886" xr:uid="{00000000-0005-0000-0000-0000460B0000}"/>
    <cellStyle name="스타일 179" xfId="2887" xr:uid="{00000000-0005-0000-0000-0000470B0000}"/>
    <cellStyle name="스타일 18" xfId="2888" xr:uid="{00000000-0005-0000-0000-0000480B0000}"/>
    <cellStyle name="스타일 180" xfId="2889" xr:uid="{00000000-0005-0000-0000-0000490B0000}"/>
    <cellStyle name="스타일 181" xfId="2890" xr:uid="{00000000-0005-0000-0000-00004A0B0000}"/>
    <cellStyle name="스타일 182" xfId="2891" xr:uid="{00000000-0005-0000-0000-00004B0B0000}"/>
    <cellStyle name="스타일 183" xfId="2892" xr:uid="{00000000-0005-0000-0000-00004C0B0000}"/>
    <cellStyle name="스타일 184" xfId="2893" xr:uid="{00000000-0005-0000-0000-00004D0B0000}"/>
    <cellStyle name="스타일 185" xfId="2894" xr:uid="{00000000-0005-0000-0000-00004E0B0000}"/>
    <cellStyle name="스타일 186" xfId="2895" xr:uid="{00000000-0005-0000-0000-00004F0B0000}"/>
    <cellStyle name="스타일 187" xfId="2896" xr:uid="{00000000-0005-0000-0000-0000500B0000}"/>
    <cellStyle name="스타일 188" xfId="2897" xr:uid="{00000000-0005-0000-0000-0000510B0000}"/>
    <cellStyle name="스타일 189" xfId="2898" xr:uid="{00000000-0005-0000-0000-0000520B0000}"/>
    <cellStyle name="스타일 19" xfId="2899" xr:uid="{00000000-0005-0000-0000-0000530B0000}"/>
    <cellStyle name="스타일 190" xfId="2900" xr:uid="{00000000-0005-0000-0000-0000540B0000}"/>
    <cellStyle name="스타일 191" xfId="2901" xr:uid="{00000000-0005-0000-0000-0000550B0000}"/>
    <cellStyle name="스타일 192" xfId="2902" xr:uid="{00000000-0005-0000-0000-0000560B0000}"/>
    <cellStyle name="스타일 193" xfId="2903" xr:uid="{00000000-0005-0000-0000-0000570B0000}"/>
    <cellStyle name="스타일 194" xfId="2904" xr:uid="{00000000-0005-0000-0000-0000580B0000}"/>
    <cellStyle name="스타일 195" xfId="2905" xr:uid="{00000000-0005-0000-0000-0000590B0000}"/>
    <cellStyle name="스타일 196" xfId="2906" xr:uid="{00000000-0005-0000-0000-00005A0B0000}"/>
    <cellStyle name="스타일 197" xfId="2907" xr:uid="{00000000-0005-0000-0000-00005B0B0000}"/>
    <cellStyle name="스타일 198" xfId="2908" xr:uid="{00000000-0005-0000-0000-00005C0B0000}"/>
    <cellStyle name="스타일 199" xfId="2909" xr:uid="{00000000-0005-0000-0000-00005D0B0000}"/>
    <cellStyle name="스타일 2" xfId="2910" xr:uid="{00000000-0005-0000-0000-00005E0B0000}"/>
    <cellStyle name="스타일 20" xfId="2911" xr:uid="{00000000-0005-0000-0000-00005F0B0000}"/>
    <cellStyle name="스타일 200" xfId="2912" xr:uid="{00000000-0005-0000-0000-0000600B0000}"/>
    <cellStyle name="스타일 201" xfId="2913" xr:uid="{00000000-0005-0000-0000-0000610B0000}"/>
    <cellStyle name="스타일 202" xfId="2914" xr:uid="{00000000-0005-0000-0000-0000620B0000}"/>
    <cellStyle name="스타일 203" xfId="2915" xr:uid="{00000000-0005-0000-0000-0000630B0000}"/>
    <cellStyle name="스타일 204" xfId="2916" xr:uid="{00000000-0005-0000-0000-0000640B0000}"/>
    <cellStyle name="스타일 205" xfId="2917" xr:uid="{00000000-0005-0000-0000-0000650B0000}"/>
    <cellStyle name="스타일 206" xfId="2918" xr:uid="{00000000-0005-0000-0000-0000660B0000}"/>
    <cellStyle name="스타일 207" xfId="2919" xr:uid="{00000000-0005-0000-0000-0000670B0000}"/>
    <cellStyle name="스타일 208" xfId="2920" xr:uid="{00000000-0005-0000-0000-0000680B0000}"/>
    <cellStyle name="스타일 209" xfId="2921" xr:uid="{00000000-0005-0000-0000-0000690B0000}"/>
    <cellStyle name="스타일 21" xfId="2922" xr:uid="{00000000-0005-0000-0000-00006A0B0000}"/>
    <cellStyle name="스타일 210" xfId="2923" xr:uid="{00000000-0005-0000-0000-00006B0B0000}"/>
    <cellStyle name="스타일 211" xfId="2924" xr:uid="{00000000-0005-0000-0000-00006C0B0000}"/>
    <cellStyle name="스타일 212" xfId="2925" xr:uid="{00000000-0005-0000-0000-00006D0B0000}"/>
    <cellStyle name="스타일 213" xfId="2926" xr:uid="{00000000-0005-0000-0000-00006E0B0000}"/>
    <cellStyle name="스타일 214" xfId="2927" xr:uid="{00000000-0005-0000-0000-00006F0B0000}"/>
    <cellStyle name="스타일 215" xfId="2928" xr:uid="{00000000-0005-0000-0000-0000700B0000}"/>
    <cellStyle name="스타일 216" xfId="2929" xr:uid="{00000000-0005-0000-0000-0000710B0000}"/>
    <cellStyle name="스타일 217" xfId="2930" xr:uid="{00000000-0005-0000-0000-0000720B0000}"/>
    <cellStyle name="스타일 218" xfId="2931" xr:uid="{00000000-0005-0000-0000-0000730B0000}"/>
    <cellStyle name="스타일 219" xfId="2932" xr:uid="{00000000-0005-0000-0000-0000740B0000}"/>
    <cellStyle name="스타일 22" xfId="2933" xr:uid="{00000000-0005-0000-0000-0000750B0000}"/>
    <cellStyle name="스타일 220" xfId="2934" xr:uid="{00000000-0005-0000-0000-0000760B0000}"/>
    <cellStyle name="스타일 221" xfId="2935" xr:uid="{00000000-0005-0000-0000-0000770B0000}"/>
    <cellStyle name="스타일 222" xfId="2936" xr:uid="{00000000-0005-0000-0000-0000780B0000}"/>
    <cellStyle name="스타일 223" xfId="2937" xr:uid="{00000000-0005-0000-0000-0000790B0000}"/>
    <cellStyle name="스타일 224" xfId="2938" xr:uid="{00000000-0005-0000-0000-00007A0B0000}"/>
    <cellStyle name="스타일 225" xfId="2939" xr:uid="{00000000-0005-0000-0000-00007B0B0000}"/>
    <cellStyle name="스타일 226" xfId="2940" xr:uid="{00000000-0005-0000-0000-00007C0B0000}"/>
    <cellStyle name="스타일 227" xfId="2941" xr:uid="{00000000-0005-0000-0000-00007D0B0000}"/>
    <cellStyle name="스타일 228" xfId="2942" xr:uid="{00000000-0005-0000-0000-00007E0B0000}"/>
    <cellStyle name="스타일 229" xfId="2943" xr:uid="{00000000-0005-0000-0000-00007F0B0000}"/>
    <cellStyle name="스타일 23" xfId="2944" xr:uid="{00000000-0005-0000-0000-0000800B0000}"/>
    <cellStyle name="스타일 230" xfId="2945" xr:uid="{00000000-0005-0000-0000-0000810B0000}"/>
    <cellStyle name="스타일 231" xfId="2946" xr:uid="{00000000-0005-0000-0000-0000820B0000}"/>
    <cellStyle name="스타일 232" xfId="2947" xr:uid="{00000000-0005-0000-0000-0000830B0000}"/>
    <cellStyle name="스타일 233" xfId="2948" xr:uid="{00000000-0005-0000-0000-0000840B0000}"/>
    <cellStyle name="스타일 234" xfId="2949" xr:uid="{00000000-0005-0000-0000-0000850B0000}"/>
    <cellStyle name="스타일 235" xfId="2950" xr:uid="{00000000-0005-0000-0000-0000860B0000}"/>
    <cellStyle name="스타일 236" xfId="2951" xr:uid="{00000000-0005-0000-0000-0000870B0000}"/>
    <cellStyle name="스타일 237" xfId="2952" xr:uid="{00000000-0005-0000-0000-0000880B0000}"/>
    <cellStyle name="스타일 238" xfId="2953" xr:uid="{00000000-0005-0000-0000-0000890B0000}"/>
    <cellStyle name="스타일 239" xfId="2954" xr:uid="{00000000-0005-0000-0000-00008A0B0000}"/>
    <cellStyle name="스타일 24" xfId="2955" xr:uid="{00000000-0005-0000-0000-00008B0B0000}"/>
    <cellStyle name="스타일 240" xfId="2956" xr:uid="{00000000-0005-0000-0000-00008C0B0000}"/>
    <cellStyle name="스타일 241" xfId="2957" xr:uid="{00000000-0005-0000-0000-00008D0B0000}"/>
    <cellStyle name="스타일 242" xfId="2958" xr:uid="{00000000-0005-0000-0000-00008E0B0000}"/>
    <cellStyle name="스타일 243" xfId="2959" xr:uid="{00000000-0005-0000-0000-00008F0B0000}"/>
    <cellStyle name="스타일 244" xfId="2960" xr:uid="{00000000-0005-0000-0000-0000900B0000}"/>
    <cellStyle name="스타일 245" xfId="2961" xr:uid="{00000000-0005-0000-0000-0000910B0000}"/>
    <cellStyle name="스타일 246" xfId="2962" xr:uid="{00000000-0005-0000-0000-0000920B0000}"/>
    <cellStyle name="스타일 247" xfId="2963" xr:uid="{00000000-0005-0000-0000-0000930B0000}"/>
    <cellStyle name="스타일 248" xfId="2964" xr:uid="{00000000-0005-0000-0000-0000940B0000}"/>
    <cellStyle name="스타일 249" xfId="2965" xr:uid="{00000000-0005-0000-0000-0000950B0000}"/>
    <cellStyle name="스타일 25" xfId="2966" xr:uid="{00000000-0005-0000-0000-0000960B0000}"/>
    <cellStyle name="스타일 250" xfId="2967" xr:uid="{00000000-0005-0000-0000-0000970B0000}"/>
    <cellStyle name="스타일 251" xfId="2968" xr:uid="{00000000-0005-0000-0000-0000980B0000}"/>
    <cellStyle name="스타일 252" xfId="2969" xr:uid="{00000000-0005-0000-0000-0000990B0000}"/>
    <cellStyle name="스타일 253" xfId="2970" xr:uid="{00000000-0005-0000-0000-00009A0B0000}"/>
    <cellStyle name="스타일 254" xfId="2971" xr:uid="{00000000-0005-0000-0000-00009B0B0000}"/>
    <cellStyle name="스타일 255" xfId="2972" xr:uid="{00000000-0005-0000-0000-00009C0B0000}"/>
    <cellStyle name="스타일 26" xfId="2973" xr:uid="{00000000-0005-0000-0000-00009D0B0000}"/>
    <cellStyle name="스타일 27" xfId="2974" xr:uid="{00000000-0005-0000-0000-00009E0B0000}"/>
    <cellStyle name="스타일 28" xfId="2975" xr:uid="{00000000-0005-0000-0000-00009F0B0000}"/>
    <cellStyle name="스타일 29" xfId="2976" xr:uid="{00000000-0005-0000-0000-0000A00B0000}"/>
    <cellStyle name="스타일 3" xfId="2977" xr:uid="{00000000-0005-0000-0000-0000A10B0000}"/>
    <cellStyle name="스타일 30" xfId="2978" xr:uid="{00000000-0005-0000-0000-0000A20B0000}"/>
    <cellStyle name="스타일 31" xfId="2979" xr:uid="{00000000-0005-0000-0000-0000A30B0000}"/>
    <cellStyle name="스타일 32" xfId="2980" xr:uid="{00000000-0005-0000-0000-0000A40B0000}"/>
    <cellStyle name="스타일 33" xfId="2981" xr:uid="{00000000-0005-0000-0000-0000A50B0000}"/>
    <cellStyle name="스타일 34" xfId="2982" xr:uid="{00000000-0005-0000-0000-0000A60B0000}"/>
    <cellStyle name="스타일 35" xfId="2983" xr:uid="{00000000-0005-0000-0000-0000A70B0000}"/>
    <cellStyle name="스타일 36" xfId="2984" xr:uid="{00000000-0005-0000-0000-0000A80B0000}"/>
    <cellStyle name="스타일 37" xfId="2985" xr:uid="{00000000-0005-0000-0000-0000A90B0000}"/>
    <cellStyle name="스타일 38" xfId="2986" xr:uid="{00000000-0005-0000-0000-0000AA0B0000}"/>
    <cellStyle name="스타일 39" xfId="2987" xr:uid="{00000000-0005-0000-0000-0000AB0B0000}"/>
    <cellStyle name="스타일 4" xfId="2988" xr:uid="{00000000-0005-0000-0000-0000AC0B0000}"/>
    <cellStyle name="스타일 40" xfId="2989" xr:uid="{00000000-0005-0000-0000-0000AD0B0000}"/>
    <cellStyle name="스타일 41" xfId="2990" xr:uid="{00000000-0005-0000-0000-0000AE0B0000}"/>
    <cellStyle name="스타일 42" xfId="2991" xr:uid="{00000000-0005-0000-0000-0000AF0B0000}"/>
    <cellStyle name="스타일 43" xfId="2992" xr:uid="{00000000-0005-0000-0000-0000B00B0000}"/>
    <cellStyle name="스타일 44" xfId="2993" xr:uid="{00000000-0005-0000-0000-0000B10B0000}"/>
    <cellStyle name="스타일 45" xfId="2994" xr:uid="{00000000-0005-0000-0000-0000B20B0000}"/>
    <cellStyle name="스타일 46" xfId="2995" xr:uid="{00000000-0005-0000-0000-0000B30B0000}"/>
    <cellStyle name="스타일 47" xfId="2996" xr:uid="{00000000-0005-0000-0000-0000B40B0000}"/>
    <cellStyle name="스타일 48" xfId="2997" xr:uid="{00000000-0005-0000-0000-0000B50B0000}"/>
    <cellStyle name="스타일 49" xfId="2998" xr:uid="{00000000-0005-0000-0000-0000B60B0000}"/>
    <cellStyle name="스타일 5" xfId="2999" xr:uid="{00000000-0005-0000-0000-0000B70B0000}"/>
    <cellStyle name="스타일 50" xfId="3000" xr:uid="{00000000-0005-0000-0000-0000B80B0000}"/>
    <cellStyle name="스타일 51" xfId="3001" xr:uid="{00000000-0005-0000-0000-0000B90B0000}"/>
    <cellStyle name="스타일 52" xfId="3002" xr:uid="{00000000-0005-0000-0000-0000BA0B0000}"/>
    <cellStyle name="스타일 53" xfId="3003" xr:uid="{00000000-0005-0000-0000-0000BB0B0000}"/>
    <cellStyle name="스타일 54" xfId="3004" xr:uid="{00000000-0005-0000-0000-0000BC0B0000}"/>
    <cellStyle name="스타일 55" xfId="3005" xr:uid="{00000000-0005-0000-0000-0000BD0B0000}"/>
    <cellStyle name="스타일 56" xfId="3006" xr:uid="{00000000-0005-0000-0000-0000BE0B0000}"/>
    <cellStyle name="스타일 57" xfId="3007" xr:uid="{00000000-0005-0000-0000-0000BF0B0000}"/>
    <cellStyle name="스타일 58" xfId="3008" xr:uid="{00000000-0005-0000-0000-0000C00B0000}"/>
    <cellStyle name="스타일 59" xfId="3009" xr:uid="{00000000-0005-0000-0000-0000C10B0000}"/>
    <cellStyle name="스타일 6" xfId="3010" xr:uid="{00000000-0005-0000-0000-0000C20B0000}"/>
    <cellStyle name="스타일 60" xfId="3011" xr:uid="{00000000-0005-0000-0000-0000C30B0000}"/>
    <cellStyle name="스타일 61" xfId="3012" xr:uid="{00000000-0005-0000-0000-0000C40B0000}"/>
    <cellStyle name="스타일 62" xfId="3013" xr:uid="{00000000-0005-0000-0000-0000C50B0000}"/>
    <cellStyle name="스타일 63" xfId="3014" xr:uid="{00000000-0005-0000-0000-0000C60B0000}"/>
    <cellStyle name="스타일 64" xfId="3015" xr:uid="{00000000-0005-0000-0000-0000C70B0000}"/>
    <cellStyle name="스타일 65" xfId="3016" xr:uid="{00000000-0005-0000-0000-0000C80B0000}"/>
    <cellStyle name="스타일 66" xfId="3017" xr:uid="{00000000-0005-0000-0000-0000C90B0000}"/>
    <cellStyle name="스타일 67" xfId="3018" xr:uid="{00000000-0005-0000-0000-0000CA0B0000}"/>
    <cellStyle name="스타일 68" xfId="3019" xr:uid="{00000000-0005-0000-0000-0000CB0B0000}"/>
    <cellStyle name="스타일 69" xfId="3020" xr:uid="{00000000-0005-0000-0000-0000CC0B0000}"/>
    <cellStyle name="스타일 7" xfId="3021" xr:uid="{00000000-0005-0000-0000-0000CD0B0000}"/>
    <cellStyle name="스타일 70" xfId="3022" xr:uid="{00000000-0005-0000-0000-0000CE0B0000}"/>
    <cellStyle name="스타일 71" xfId="3023" xr:uid="{00000000-0005-0000-0000-0000CF0B0000}"/>
    <cellStyle name="스타일 72" xfId="3024" xr:uid="{00000000-0005-0000-0000-0000D00B0000}"/>
    <cellStyle name="스타일 73" xfId="3025" xr:uid="{00000000-0005-0000-0000-0000D10B0000}"/>
    <cellStyle name="스타일 74" xfId="3026" xr:uid="{00000000-0005-0000-0000-0000D20B0000}"/>
    <cellStyle name="스타일 75" xfId="3027" xr:uid="{00000000-0005-0000-0000-0000D30B0000}"/>
    <cellStyle name="스타일 76" xfId="3028" xr:uid="{00000000-0005-0000-0000-0000D40B0000}"/>
    <cellStyle name="스타일 77" xfId="3029" xr:uid="{00000000-0005-0000-0000-0000D50B0000}"/>
    <cellStyle name="스타일 78" xfId="3030" xr:uid="{00000000-0005-0000-0000-0000D60B0000}"/>
    <cellStyle name="스타일 79" xfId="3031" xr:uid="{00000000-0005-0000-0000-0000D70B0000}"/>
    <cellStyle name="스타일 8" xfId="3032" xr:uid="{00000000-0005-0000-0000-0000D80B0000}"/>
    <cellStyle name="스타일 80" xfId="3033" xr:uid="{00000000-0005-0000-0000-0000D90B0000}"/>
    <cellStyle name="스타일 81" xfId="3034" xr:uid="{00000000-0005-0000-0000-0000DA0B0000}"/>
    <cellStyle name="스타일 82" xfId="3035" xr:uid="{00000000-0005-0000-0000-0000DB0B0000}"/>
    <cellStyle name="스타일 83" xfId="3036" xr:uid="{00000000-0005-0000-0000-0000DC0B0000}"/>
    <cellStyle name="스타일 84" xfId="3037" xr:uid="{00000000-0005-0000-0000-0000DD0B0000}"/>
    <cellStyle name="스타일 85" xfId="3038" xr:uid="{00000000-0005-0000-0000-0000DE0B0000}"/>
    <cellStyle name="스타일 86" xfId="3039" xr:uid="{00000000-0005-0000-0000-0000DF0B0000}"/>
    <cellStyle name="스타일 87" xfId="3040" xr:uid="{00000000-0005-0000-0000-0000E00B0000}"/>
    <cellStyle name="스타일 88" xfId="3041" xr:uid="{00000000-0005-0000-0000-0000E10B0000}"/>
    <cellStyle name="스타일 89" xfId="3042" xr:uid="{00000000-0005-0000-0000-0000E20B0000}"/>
    <cellStyle name="스타일 9" xfId="3043" xr:uid="{00000000-0005-0000-0000-0000E30B0000}"/>
    <cellStyle name="스타일 90" xfId="3044" xr:uid="{00000000-0005-0000-0000-0000E40B0000}"/>
    <cellStyle name="스타일 91" xfId="3045" xr:uid="{00000000-0005-0000-0000-0000E50B0000}"/>
    <cellStyle name="스타일 92" xfId="3046" xr:uid="{00000000-0005-0000-0000-0000E60B0000}"/>
    <cellStyle name="스타일 93" xfId="3047" xr:uid="{00000000-0005-0000-0000-0000E70B0000}"/>
    <cellStyle name="스타일 94" xfId="3048" xr:uid="{00000000-0005-0000-0000-0000E80B0000}"/>
    <cellStyle name="스타일 95" xfId="3049" xr:uid="{00000000-0005-0000-0000-0000E90B0000}"/>
    <cellStyle name="스타일 96" xfId="3050" xr:uid="{00000000-0005-0000-0000-0000EA0B0000}"/>
    <cellStyle name="스타일 97" xfId="3051" xr:uid="{00000000-0005-0000-0000-0000EB0B0000}"/>
    <cellStyle name="스타일 98" xfId="3052" xr:uid="{00000000-0005-0000-0000-0000EC0B0000}"/>
    <cellStyle name="스타일 99" xfId="3053" xr:uid="{00000000-0005-0000-0000-0000ED0B0000}"/>
    <cellStyle name="안건회계법인" xfId="3054" xr:uid="{00000000-0005-0000-0000-0000EE0B0000}"/>
    <cellStyle name="왼쪽2" xfId="3055" xr:uid="{00000000-0005-0000-0000-0000EF0B0000}"/>
    <cellStyle name="원" xfId="3056" xr:uid="{00000000-0005-0000-0000-0000F00B0000}"/>
    <cellStyle name="유1" xfId="3057" xr:uid="{00000000-0005-0000-0000-0000F10B0000}"/>
    <cellStyle name="유영" xfId="3058" xr:uid="{00000000-0005-0000-0000-0000F20B0000}"/>
    <cellStyle name="자리수" xfId="3059" xr:uid="{00000000-0005-0000-0000-0000F30B0000}"/>
    <cellStyle name="자리수 - 유형1" xfId="3060" xr:uid="{00000000-0005-0000-0000-0000F40B0000}"/>
    <cellStyle name="자리수_~MGaE" xfId="3061" xr:uid="{00000000-0005-0000-0000-0000F50B0000}"/>
    <cellStyle name="자리수0" xfId="3062" xr:uid="{00000000-0005-0000-0000-0000F60B0000}"/>
    <cellStyle name="정기수 - 유형1" xfId="3063" xr:uid="{00000000-0005-0000-0000-0000F70B0000}"/>
    <cellStyle name="제목 1(中)" xfId="3064" xr:uid="{00000000-0005-0000-0000-0000F80B0000}"/>
    <cellStyle name="제목 1(左)" xfId="3065" xr:uid="{00000000-0005-0000-0000-0000F90B0000}"/>
    <cellStyle name="제목[1 줄]" xfId="3066" xr:uid="{00000000-0005-0000-0000-0000FA0B0000}"/>
    <cellStyle name="제목[2줄 아래]" xfId="3067" xr:uid="{00000000-0005-0000-0000-0000FB0B0000}"/>
    <cellStyle name="제목[2줄 위]" xfId="3068" xr:uid="{00000000-0005-0000-0000-0000FC0B0000}"/>
    <cellStyle name="제목1" xfId="3069" xr:uid="{00000000-0005-0000-0000-0000FD0B0000}"/>
    <cellStyle name="제목2" xfId="3070" xr:uid="{00000000-0005-0000-0000-0000FE0B0000}"/>
    <cellStyle name="좋음 2" xfId="3071" xr:uid="{00000000-0005-0000-0000-0000FF0B0000}"/>
    <cellStyle name="지정되지 않음" xfId="3072" xr:uid="{00000000-0005-0000-0000-0000000C0000}"/>
    <cellStyle name="콤" xfId="3073" xr:uid="{00000000-0005-0000-0000-0000010C0000}"/>
    <cellStyle name="콤마 [" xfId="3074" xr:uid="{00000000-0005-0000-0000-0000020C0000}"/>
    <cellStyle name="콤마 []" xfId="3075" xr:uid="{00000000-0005-0000-0000-0000030C0000}"/>
    <cellStyle name="콤마 [#]" xfId="3076" xr:uid="{00000000-0005-0000-0000-0000040C0000}"/>
    <cellStyle name="콤마 [0]" xfId="3077" xr:uid="{00000000-0005-0000-0000-0000050C0000}"/>
    <cellStyle name="콤마 [1]" xfId="3078" xr:uid="{00000000-0005-0000-0000-0000060C0000}"/>
    <cellStyle name="콤마 [2]" xfId="3079" xr:uid="{00000000-0005-0000-0000-0000070C0000}"/>
    <cellStyle name="콤마 [금액]" xfId="3080" xr:uid="{00000000-0005-0000-0000-0000080C0000}"/>
    <cellStyle name="콤마 [소수]" xfId="3081" xr:uid="{00000000-0005-0000-0000-0000090C0000}"/>
    <cellStyle name="콤마 [수량]" xfId="3082" xr:uid="{00000000-0005-0000-0000-00000A0C0000}"/>
    <cellStyle name="콤마 1" xfId="3083" xr:uid="{00000000-0005-0000-0000-00000B0C0000}"/>
    <cellStyle name="콤마_  종  합  " xfId="3084" xr:uid="{00000000-0005-0000-0000-00000C0C0000}"/>
    <cellStyle name="콤마[ ]" xfId="3085" xr:uid="{00000000-0005-0000-0000-00000D0C0000}"/>
    <cellStyle name="콤마[,]" xfId="3086" xr:uid="{00000000-0005-0000-0000-00000E0C0000}"/>
    <cellStyle name="콤마[.]" xfId="3087" xr:uid="{00000000-0005-0000-0000-00000F0C0000}"/>
    <cellStyle name="콤마[*]" xfId="3088" xr:uid="{00000000-0005-0000-0000-0000100C0000}"/>
    <cellStyle name="콤마[0]" xfId="3089" xr:uid="{00000000-0005-0000-0000-0000110C0000}"/>
    <cellStyle name="통" xfId="3090" xr:uid="{00000000-0005-0000-0000-0000120C0000}"/>
    <cellStyle name="통화 [" xfId="3091" xr:uid="{00000000-0005-0000-0000-0000130C0000}"/>
    <cellStyle name="통화 [0㉝〸" xfId="3092" xr:uid="{00000000-0005-0000-0000-0000140C0000}"/>
    <cellStyle name="퍼센트" xfId="3093" xr:uid="{00000000-0005-0000-0000-0000150C0000}"/>
    <cellStyle name="표" xfId="3094" xr:uid="{00000000-0005-0000-0000-0000160C0000}"/>
    <cellStyle name="표(가는선,가운데,중앙)" xfId="3095" xr:uid="{00000000-0005-0000-0000-0000170C0000}"/>
    <cellStyle name="표(가는선,왼쪽,중앙)" xfId="3096" xr:uid="{00000000-0005-0000-0000-0000180C0000}"/>
    <cellStyle name="표(세로쓰기)" xfId="3097" xr:uid="{00000000-0005-0000-0000-0000190C0000}"/>
    <cellStyle name="표머릿글(上)" xfId="3098" xr:uid="{00000000-0005-0000-0000-00001A0C0000}"/>
    <cellStyle name="표머릿글(下)" xfId="3099" xr:uid="{00000000-0005-0000-0000-00001B0C0000}"/>
    <cellStyle name="표머릿글(中)" xfId="3100" xr:uid="{00000000-0005-0000-0000-00001C0C0000}"/>
    <cellStyle name="표준 2" xfId="3101" xr:uid="{00000000-0005-0000-0000-00001D0C0000}"/>
    <cellStyle name="표준 2 2" xfId="3102" xr:uid="{00000000-0005-0000-0000-00001E0C0000}"/>
    <cellStyle name="표준 3" xfId="3103" xr:uid="{00000000-0005-0000-0000-00001F0C0000}"/>
    <cellStyle name="표준 4" xfId="3104" xr:uid="{00000000-0005-0000-0000-0000200C0000}"/>
    <cellStyle name="표준 5" xfId="3105" xr:uid="{00000000-0005-0000-0000-0000210C0000}"/>
    <cellStyle name="표준_현대하이월드공사중단건물정밀안전진단" xfId="3106" xr:uid="{00000000-0005-0000-0000-0000220C0000}"/>
    <cellStyle name="표준℘Sheet8 (3)" xfId="3107" xr:uid="{00000000-0005-0000-0000-0000230C0000}"/>
    <cellStyle name="표준1" xfId="3108" xr:uid="{00000000-0005-0000-0000-0000240C0000}"/>
    <cellStyle name="표준2" xfId="3109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13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25</xdr:row>
      <xdr:rowOff>76200</xdr:rowOff>
    </xdr:from>
    <xdr:to>
      <xdr:col>4</xdr:col>
      <xdr:colOff>266700</xdr:colOff>
      <xdr:row>27</xdr:row>
      <xdr:rowOff>254000</xdr:rowOff>
    </xdr:to>
    <xdr:pic>
      <xdr:nvPicPr>
        <xdr:cNvPr id="1573" name="_x224090752" descr="EMB0000176c6721">
          <a:extLst>
            <a:ext uri="{FF2B5EF4-FFF2-40B4-BE49-F238E27FC236}">
              <a16:creationId xmlns:a16="http://schemas.microsoft.com/office/drawing/2014/main" id="{0AEFCFFC-1910-4CBB-B715-096647C8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7556500"/>
          <a:ext cx="8890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50800</xdr:colOff>
      <xdr:row>24</xdr:row>
      <xdr:rowOff>101600</xdr:rowOff>
    </xdr:from>
    <xdr:to>
      <xdr:col>12</xdr:col>
      <xdr:colOff>368300</xdr:colOff>
      <xdr:row>26</xdr:row>
      <xdr:rowOff>152400</xdr:rowOff>
    </xdr:to>
    <xdr:pic>
      <xdr:nvPicPr>
        <xdr:cNvPr id="1574" name="그림 5">
          <a:extLst>
            <a:ext uri="{FF2B5EF4-FFF2-40B4-BE49-F238E27FC236}">
              <a16:creationId xmlns:a16="http://schemas.microsoft.com/office/drawing/2014/main" id="{D57CB91B-7057-AECD-5F63-A74C5B64F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7277100"/>
          <a:ext cx="7493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4610" name="Group 36">
          <a:extLst>
            <a:ext uri="{FF2B5EF4-FFF2-40B4-BE49-F238E27FC236}">
              <a16:creationId xmlns:a16="http://schemas.microsoft.com/office/drawing/2014/main" id="{D85F1D13-5D70-2C55-9BC5-CD7DD1F01D97}"/>
            </a:ext>
          </a:extLst>
        </xdr:cNvPr>
        <xdr:cNvGrpSpPr>
          <a:grpSpLocks/>
        </xdr:cNvGrpSpPr>
      </xdr:nvGrpSpPr>
      <xdr:grpSpPr bwMode="auto">
        <a:xfrm>
          <a:off x="3073400" y="82677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DDB1FC47-EE1B-EA0B-B374-FBFB9EFC86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1DADA715-96AF-3F37-DA97-FCEA0664A4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6200F796-AE03-F8A9-23D8-04E28C2CD7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16790D49-E410-9B05-D538-D6FA7839B8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330200</xdr:colOff>
      <xdr:row>32</xdr:row>
      <xdr:rowOff>203200</xdr:rowOff>
    </xdr:from>
    <xdr:to>
      <xdr:col>7</xdr:col>
      <xdr:colOff>660400</xdr:colOff>
      <xdr:row>35</xdr:row>
      <xdr:rowOff>241300</xdr:rowOff>
    </xdr:to>
    <xdr:pic>
      <xdr:nvPicPr>
        <xdr:cNvPr id="14611" name="그림 7">
          <a:extLst>
            <a:ext uri="{FF2B5EF4-FFF2-40B4-BE49-F238E27FC236}">
              <a16:creationId xmlns:a16="http://schemas.microsoft.com/office/drawing/2014/main" id="{8E1777A6-9CC2-C04D-EF25-1F911A23E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7400" y="9448800"/>
          <a:ext cx="7747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4612" name="_x224090752" descr="EMB0000176c6721">
          <a:extLst>
            <a:ext uri="{FF2B5EF4-FFF2-40B4-BE49-F238E27FC236}">
              <a16:creationId xmlns:a16="http://schemas.microsoft.com/office/drawing/2014/main" id="{627CE126-DC8A-6603-4855-ACF820A71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456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AD659AA5-6AC8-634D-AACD-2A5DB7D6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&#49328;&#52636;&#44540;&#44144;/EXCEL/&#45236;&#50669;&#49436;/Compaction/&#52980;&#54169;&#49496;/CGS/CGS(&#47928;&#44257;-&#49324;&#4851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Z_PSC/1-PARK_WORKS/Reference/&#44608;&#49884;&#50896;&#45824;&#47532;&#45784;/&#45824;,&#45236;&#50808;%20&#44277;&#47928;&#50577;&#49885;/&#54788;&#51109;&#51088;&#47308;/&#54788;&#51109;/&#51652;&#54665;&#54788;&#51109;/MAT%20&#46041;&#47000;&#51216;/&#45347;&#50612;&#51452;&#49464;&#50836;/&#51221;&#51060;/EXCEL/&#45236;&#50669;&#49436;/Compaction/&#52980;&#54169;&#49496;/CGS/CGS(&#47928;&#44257;-&#49324;&#4851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ADATA/98FILE/3&#50900;/&#44368;&#53685;&#45824;&#5229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WORD/EXCEL/&#45236;&#50669;&#49436;/Compaction/&#52980;&#54169;&#49496;/CGS/CGS(&#47928;&#44257;-&#49324;&#4851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46041;&#44592;/C/My%20Documents/&#44148;&#52629;/&#47560;&#44536;&#45367;&#51032;&#51221;&#48512;&#51216;/&#49888;-&#52572;&#51333;&#54869;&#51221;&#48169;&#54868;&#48169;&#48276;&#49492;&#535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52;&#51068;&#49457;/&#51452;&#44145;&#50472;/NOTOUCH/&#49884;&#48169;&#49436;/&#47560;&#44536;&#45367;&#51216;/&#48512;&#54217;&#51216;/&#44228;&#50557;&#45236;&#50669;&#49436;/My%20Documents/&#48177;&#54868;&#51216;&#44305;&#51452;&#51216;/&#46321;&#44592;&#44396;&#45236;&#50669;&#49436;(HOTEL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&#49328;&#52636;&#44540;&#44144;/&#45347;&#50612;&#51452;&#49464;&#50836;/&#51221;&#51060;/EXCEL/&#45236;&#50669;&#49436;/Compaction/&#52980;&#54169;&#49496;/CGS/CGS(&#47928;&#44257;-&#49324;&#48513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728;&#51221;/D/&#45929;&#51060;/&#48512;&#49328;&#45224;&#52380;&#46041;&#48337;&#50896;/EXCEL/&#45236;&#50669;&#49436;/Compaction/&#52980;&#54169;&#49496;/CGS/CGS(&#47928;&#44257;-&#49324;&#4851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WORD/&#45347;&#50612;&#51452;&#49464;&#50836;/&#51221;&#51060;/EXCEL/&#45236;&#50669;&#49436;/Compaction/&#52980;&#54169;&#49496;/CGS/CGS(&#47928;&#44257;-&#49324;&#48513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WORD/Word/&#49328;&#52636;&#44540;&#44144;/&#47560;&#44536;&#45367;&#51032;&#50773;&#51216;/020108/EXCEL/&#45236;&#50669;&#49436;/Compaction/&#52980;&#54169;&#49496;/CGS/CGS(&#47928;&#44257;-&#49324;&#4851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DATA/98FILE/3&#50900;/&#44368;&#53685;&#45824;&#5229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&#48372;&#45236;&#51452;&#49464;&#50836;/&#51221;&#51060;/LG&#47560;&#53944;&#45909;&#49548;&#51216;/&#45236;&#50669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IMTH/80&#51204;&#44592;&#44277;&#49324;/WINDOWS/TEMP/9911(&#48708;&#5085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Z_PSC/1-PARK_WORKS/Reference/&#44608;&#49884;&#50896;&#45824;&#47532;&#45784;/&#45824;,&#45236;&#50808;%20&#44277;&#47928;&#50577;&#49885;/ADATA/98FILE/3&#50900;/&#44368;&#53685;&#45824;&#5229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46041;&#44592;/C/My%20Documents/&#44053;&#46041;&#44592;/&#51064;&#53580;&#47532;&#50612;/&#47215;&#45936;&#49660;&#54609;(&#54252;&#54637;&#51216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7215;&#45936;&#49660;&#54609;(&#54252;&#54637;&#51216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&#51068;&#50948;&#45824;&#44032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46041;&#44592;/C/My%20Documents/&#44053;&#46041;&#44592;/&#51064;&#53580;&#47532;&#50612;/WINDOWS/TEMP/&#51068;&#50948;&#45824;&#44032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Z_PSC/1-PARK_WORKS/Reference/&#44608;&#49884;&#50896;&#45824;&#47532;&#45784;/&#45824;,&#45236;&#50808;%20&#44277;&#47928;&#50577;&#49885;/&#50872;&#49328;/&#50872;&#49328;B/&#54840;&#53588;&#48177;&#54868;&#51216;&#50689;&#54868;&#44288;&#54624;&#51064;&#51216;/ADATA/98FILE/3&#50900;/&#44368;&#53685;&#45824;&#5229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_PDC/&#51204;&#52404;&#44277;&#50857;&#54632;/My%20Documents/&#51221;&#54637;&#49437;&#44228;&#51109;/&#44053;&#45224;4F%20INT%20&#45236;&#50669;/My%20Documents/&#48177;&#54868;&#51216;&#44305;&#51452;&#51216;/&#46321;&#44592;&#44396;&#45236;&#50669;&#49436;(HOTEL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&#49328;&#52636;&#44540;&#44144;/Word/&#49328;&#52636;&#44540;&#44144;/&#47560;&#44536;&#45367;&#51032;&#50773;&#51216;/020108/EXCEL/&#45236;&#50669;&#49436;/Compaction/&#52980;&#54169;&#49496;/CGS/CGS(&#47928;&#44257;-&#49324;&#48513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8337;&#52285;/&#44277;&#50976;/My%20Documents/&#45236;&#47928;&#49436;/&#44148;&#49444;&#48376;&#48512;/11&#50900;&#44592;&#49457;&#54869;&#51221;/My%20Documents/&#50872;&#49328;/&#50872;&#49328;B/&#44592;&#49457;/0003&#50900;/&#44368;&#53685;&#54217;&#44032;&#51456;&#4427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Z_PSC/1-PARK_WORKS/Reference/&#44608;&#49884;&#50896;&#45824;&#47532;&#45784;/&#45824;,&#45236;&#50808;%20&#44277;&#47928;&#50577;&#49885;/&#54788;&#51109;&#51088;&#47308;/&#54788;&#51109;/&#51652;&#54665;&#54788;&#51109;/MAT%20&#46041;&#47000;&#51216;/Word/&#49328;&#52636;&#44540;&#44144;/&#47560;&#44536;&#45367;&#51032;&#50773;&#51216;/EXCEL/&#45236;&#50669;&#49436;/Compaction/&#52980;&#54169;&#49496;/CGS/CGS(&#47928;&#44257;-&#49324;&#48513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EXCEL/&#45236;&#50669;&#49436;/Compaction/&#52980;&#54169;&#49496;/CGS/CGS(&#47928;&#44257;-&#49324;&#48513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04;&#49457;&#51068;/&#45347;&#50612;&#51452;&#49464;&#50836;/EXCEL/&#45236;&#50669;&#49436;/Compaction/&#52980;&#54169;&#49496;/CGS/CGS(&#47928;&#44257;-&#49324;&#48513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JOJG/&#49884;&#49444;&#51088;&#47308;/07&#25351;&#37341;,&#20844;&#25991;/&#45824;&#50808;&#44277;&#4792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50857;&#50865;/D/&#48372;&#45236;&#51452;&#49464;&#50836;/&#50504;&#49457;&#51068;/&#49345;&#50516;3&#44277;&#44396;/020305(&#47932;&#47049;)/EXCEL/&#45236;&#50669;&#49436;/Compaction/&#52980;&#54169;&#49496;/CGS/CGS(&#47928;&#44257;-&#49324;&#48513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8337;&#52285;/&#44277;&#50976;/My%20Documents/&#45824;&#44396;&#47560;&#44536;&#45367;/ADATA/98FILE/3&#50900;/&#44368;&#53685;&#45824;&#5229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&#9635;C%20-%20My%20Documents/&#51221;&#49328;,&#48156;&#51452;,&#49444;&#44228;&#48320;&#44221;/&#9758;&#52380;&#50504;&#49340;&#44053;/&#49340;&#44053;%20&#52380;&#50504;&#44592;&#49689;&#49324;/&#44592;&#49689;&#49324;&#46041;%20&#53664;&#47785;&#44277;&#49324;%20%20&#50696;&#51221;&#44277;&#49324;&#4870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_PDC/&#51204;&#52404;&#44277;&#50857;&#54632;/&#54788;&#48169;_FILE/&#44204;&#51201;/&#55064;&#44221;&#46041;/&#55064;&#44221;&#46041;(&#49888;&#51068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Grace-s/01%20&#49436;&#50872;&#49324;&#47924;&#49548;/Z_PSC/1-PARK_WORKS/Reference/&#44608;&#49884;&#50896;&#45824;&#47532;&#45784;/&#45824;,&#45236;&#50808;%20&#44277;&#47928;&#50577;&#49885;/&#54788;&#51109;&#51088;&#47308;/&#54788;&#51109;/&#51652;&#54665;&#54788;&#51109;/MAT%20&#46041;&#47000;&#51216;/EXCEL/&#45236;&#50669;&#49436;/Compaction/&#52980;&#54169;&#49496;/CGS/CGS(&#47928;&#44257;-&#49324;&#48513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46041;&#44592;/C/My%20Documents/&#44148;&#52629;/&#48177;&#54868;&#51216;&#54252;&#54637;&#51216;/&#49888;-&#52572;&#51333;&#48169;&#54868;&#48169;&#48276;&#49492;&#535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통대책내역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마그넷대구 (7)"/>
      <sheetName val="마그넷대구 (6)"/>
      <sheetName val="내역동락확정"/>
      <sheetName val="대비일산연수"/>
      <sheetName val="계약내역서"/>
      <sheetName val="내역동락"/>
      <sheetName val="내역동락기본"/>
      <sheetName val="입찰결과(확정) (2)"/>
      <sheetName val="입찰결과(최종확정)"/>
      <sheetName val="내역총괄(최종) (2)"/>
      <sheetName val="기안용지 (2)"/>
      <sheetName val="대비일산"/>
      <sheetName val="연수내역"/>
      <sheetName val="연수내역원본"/>
      <sheetName val="연수내역총괄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갑지"/>
      <sheetName val="공사비"/>
      <sheetName val="신청내역서"/>
      <sheetName val="등기구내역서(HOTEL)"/>
    </sheetNames>
    <definedNames>
      <definedName name="매크로19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  <sheetName val="신청내역서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"/>
      <sheetName val="내역서"/>
      <sheetName val="일위대가표목록표"/>
      <sheetName val="일위대가표"/>
      <sheetName val="JSP수량산출서"/>
      <sheetName val="SDA 수량산출"/>
      <sheetName val="SDA공법단가산출서 "/>
      <sheetName val="재료할증표"/>
      <sheetName val="자재단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리용"/>
      <sheetName val="전체"/>
      <sheetName val="연습"/>
    </sheetNames>
    <sheetDataSet>
      <sheetData sheetId="0"/>
      <sheetData sheetId="1"/>
      <sheetData sheetId="2">
        <row r="3">
          <cell r="C3">
            <v>411001</v>
          </cell>
          <cell r="D3" t="str">
            <v>소 공 점</v>
          </cell>
          <cell r="E3">
            <v>140000</v>
          </cell>
          <cell r="G3">
            <v>140000</v>
          </cell>
        </row>
        <row r="4">
          <cell r="C4">
            <v>431406</v>
          </cell>
          <cell r="D4" t="str">
            <v>안 산 점</v>
          </cell>
          <cell r="E4">
            <v>140000</v>
          </cell>
          <cell r="G4">
            <v>140000</v>
          </cell>
        </row>
        <row r="5">
          <cell r="C5">
            <v>411407</v>
          </cell>
          <cell r="D5" t="str">
            <v>이 대 역</v>
          </cell>
          <cell r="E5">
            <v>140000</v>
          </cell>
          <cell r="F5">
            <v>12000</v>
          </cell>
          <cell r="G5">
            <v>152000</v>
          </cell>
        </row>
        <row r="6">
          <cell r="C6">
            <v>411051</v>
          </cell>
          <cell r="D6" t="str">
            <v>대 생 점</v>
          </cell>
          <cell r="E6">
            <v>140000</v>
          </cell>
          <cell r="G6">
            <v>140000</v>
          </cell>
        </row>
        <row r="7">
          <cell r="C7">
            <v>411076</v>
          </cell>
          <cell r="D7" t="str">
            <v>영등포</v>
          </cell>
          <cell r="E7">
            <v>140000</v>
          </cell>
          <cell r="F7">
            <v>28500</v>
          </cell>
          <cell r="G7">
            <v>168500</v>
          </cell>
        </row>
        <row r="8">
          <cell r="C8">
            <v>411088</v>
          </cell>
          <cell r="D8" t="str">
            <v>서 울 역</v>
          </cell>
          <cell r="E8">
            <v>140000</v>
          </cell>
          <cell r="F8">
            <v>10000</v>
          </cell>
          <cell r="G8">
            <v>150000</v>
          </cell>
        </row>
        <row r="9">
          <cell r="C9">
            <v>411089</v>
          </cell>
          <cell r="D9" t="str">
            <v>일번가</v>
          </cell>
          <cell r="E9">
            <v>140000</v>
          </cell>
          <cell r="F9">
            <v>220500</v>
          </cell>
          <cell r="G9">
            <v>360500</v>
          </cell>
        </row>
        <row r="10">
          <cell r="C10">
            <v>411412</v>
          </cell>
          <cell r="D10" t="str">
            <v>구로시장</v>
          </cell>
          <cell r="E10">
            <v>140000</v>
          </cell>
          <cell r="F10">
            <v>188000</v>
          </cell>
          <cell r="G10">
            <v>328000</v>
          </cell>
        </row>
        <row r="11">
          <cell r="C11">
            <v>411101</v>
          </cell>
          <cell r="D11" t="str">
            <v>영프라자</v>
          </cell>
          <cell r="E11">
            <v>140000</v>
          </cell>
          <cell r="F11">
            <v>58500</v>
          </cell>
          <cell r="G11">
            <v>198500</v>
          </cell>
        </row>
        <row r="12">
          <cell r="C12">
            <v>411114</v>
          </cell>
          <cell r="D12" t="str">
            <v>노 원 점</v>
          </cell>
          <cell r="G12">
            <v>0</v>
          </cell>
          <cell r="H12" t="str">
            <v>개보수공사</v>
          </cell>
        </row>
        <row r="13">
          <cell r="C13">
            <v>411116</v>
          </cell>
          <cell r="D13" t="str">
            <v>광 장 점</v>
          </cell>
          <cell r="E13">
            <v>140000</v>
          </cell>
          <cell r="G13">
            <v>140000</v>
          </cell>
        </row>
        <row r="14">
          <cell r="C14">
            <v>411122</v>
          </cell>
          <cell r="D14" t="str">
            <v>종 로 점</v>
          </cell>
          <cell r="E14">
            <v>140000</v>
          </cell>
          <cell r="F14">
            <v>60000</v>
          </cell>
          <cell r="G14">
            <v>200000</v>
          </cell>
        </row>
        <row r="15">
          <cell r="C15">
            <v>411127</v>
          </cell>
          <cell r="D15" t="str">
            <v>미아점</v>
          </cell>
          <cell r="E15">
            <v>140000</v>
          </cell>
          <cell r="F15">
            <v>6900</v>
          </cell>
          <cell r="G15">
            <v>146900</v>
          </cell>
        </row>
        <row r="16">
          <cell r="C16">
            <v>431480</v>
          </cell>
          <cell r="D16" t="str">
            <v>시흥신천</v>
          </cell>
          <cell r="E16">
            <v>140000</v>
          </cell>
          <cell r="G16">
            <v>140000</v>
          </cell>
        </row>
        <row r="17">
          <cell r="C17">
            <v>411137</v>
          </cell>
          <cell r="D17" t="str">
            <v>길 동 점</v>
          </cell>
          <cell r="E17">
            <v>140000</v>
          </cell>
          <cell r="F17">
            <v>55600</v>
          </cell>
          <cell r="G17">
            <v>195600</v>
          </cell>
        </row>
        <row r="18">
          <cell r="C18">
            <v>411147</v>
          </cell>
          <cell r="D18" t="str">
            <v>신 설 점</v>
          </cell>
          <cell r="E18">
            <v>140000</v>
          </cell>
          <cell r="F18">
            <v>17000</v>
          </cell>
          <cell r="G18">
            <v>157000</v>
          </cell>
        </row>
        <row r="19">
          <cell r="C19">
            <v>411162</v>
          </cell>
          <cell r="D19" t="str">
            <v>불 광 점</v>
          </cell>
          <cell r="E19">
            <v>140000</v>
          </cell>
          <cell r="G19">
            <v>140000</v>
          </cell>
        </row>
        <row r="20">
          <cell r="C20">
            <v>411173</v>
          </cell>
          <cell r="D20" t="str">
            <v>대림시장</v>
          </cell>
          <cell r="E20">
            <v>140000</v>
          </cell>
          <cell r="F20">
            <v>587200</v>
          </cell>
          <cell r="G20">
            <v>727200</v>
          </cell>
        </row>
        <row r="21">
          <cell r="C21">
            <v>411492</v>
          </cell>
          <cell r="D21" t="str">
            <v>김포공항</v>
          </cell>
          <cell r="E21">
            <v>140000</v>
          </cell>
          <cell r="F21">
            <v>40000</v>
          </cell>
          <cell r="G21">
            <v>180000</v>
          </cell>
        </row>
        <row r="22">
          <cell r="C22">
            <v>411203</v>
          </cell>
          <cell r="D22" t="str">
            <v>청량리점</v>
          </cell>
          <cell r="E22">
            <v>140000</v>
          </cell>
          <cell r="F22">
            <v>30200</v>
          </cell>
          <cell r="G22">
            <v>170200</v>
          </cell>
        </row>
        <row r="23">
          <cell r="C23">
            <v>431249</v>
          </cell>
          <cell r="D23" t="str">
            <v>수 원 점</v>
          </cell>
          <cell r="E23">
            <v>140000</v>
          </cell>
          <cell r="F23">
            <v>106600</v>
          </cell>
          <cell r="G23">
            <v>246600</v>
          </cell>
        </row>
        <row r="24">
          <cell r="C24">
            <v>411239</v>
          </cell>
          <cell r="D24" t="str">
            <v>양 재 점</v>
          </cell>
          <cell r="E24">
            <v>140000</v>
          </cell>
          <cell r="G24">
            <v>140000</v>
          </cell>
        </row>
        <row r="25">
          <cell r="C25">
            <v>431338</v>
          </cell>
          <cell r="D25" t="str">
            <v>분 당 점</v>
          </cell>
          <cell r="E25">
            <v>140000</v>
          </cell>
          <cell r="F25">
            <v>147000</v>
          </cell>
          <cell r="G25">
            <v>287000</v>
          </cell>
        </row>
        <row r="26">
          <cell r="C26">
            <v>431337</v>
          </cell>
          <cell r="D26" t="str">
            <v>인천만수</v>
          </cell>
          <cell r="E26">
            <v>140000</v>
          </cell>
          <cell r="F26">
            <v>15700</v>
          </cell>
          <cell r="G26">
            <v>155700</v>
          </cell>
        </row>
        <row r="27">
          <cell r="C27">
            <v>411090</v>
          </cell>
          <cell r="D27" t="str">
            <v>새나라점</v>
          </cell>
          <cell r="E27">
            <v>140000</v>
          </cell>
          <cell r="F27">
            <v>26000</v>
          </cell>
          <cell r="G27">
            <v>166000</v>
          </cell>
        </row>
        <row r="28">
          <cell r="C28">
            <v>431451</v>
          </cell>
          <cell r="D28" t="str">
            <v>평택중앙</v>
          </cell>
          <cell r="E28">
            <v>140000</v>
          </cell>
          <cell r="F28">
            <v>3000</v>
          </cell>
          <cell r="G28">
            <v>143000</v>
          </cell>
        </row>
        <row r="29">
          <cell r="C29">
            <v>411469</v>
          </cell>
          <cell r="D29" t="str">
            <v>월드마그넷</v>
          </cell>
          <cell r="E29">
            <v>140000</v>
          </cell>
          <cell r="F29">
            <v>163000</v>
          </cell>
          <cell r="G29">
            <v>303000</v>
          </cell>
        </row>
        <row r="30">
          <cell r="C30">
            <v>431446</v>
          </cell>
          <cell r="D30" t="str">
            <v>일산문촌</v>
          </cell>
          <cell r="E30">
            <v>140000</v>
          </cell>
          <cell r="F30">
            <v>382200</v>
          </cell>
          <cell r="G30">
            <v>522200</v>
          </cell>
        </row>
        <row r="31">
          <cell r="C31">
            <v>431433</v>
          </cell>
          <cell r="D31" t="str">
            <v>부천로얄</v>
          </cell>
          <cell r="E31">
            <v>140000</v>
          </cell>
          <cell r="G31">
            <v>140000</v>
          </cell>
        </row>
        <row r="32">
          <cell r="C32">
            <v>411429</v>
          </cell>
          <cell r="D32" t="str">
            <v>종로관철</v>
          </cell>
          <cell r="E32">
            <v>140000</v>
          </cell>
          <cell r="F32">
            <v>154000</v>
          </cell>
          <cell r="G32">
            <v>294000</v>
          </cell>
        </row>
        <row r="33">
          <cell r="C33">
            <v>411111</v>
          </cell>
          <cell r="D33" t="str">
            <v>성 동 점</v>
          </cell>
          <cell r="E33">
            <v>140000</v>
          </cell>
          <cell r="F33">
            <v>23000</v>
          </cell>
          <cell r="G33">
            <v>163000</v>
          </cell>
        </row>
        <row r="34">
          <cell r="C34">
            <v>431129</v>
          </cell>
          <cell r="D34" t="str">
            <v>안산원곡</v>
          </cell>
          <cell r="E34">
            <v>140000</v>
          </cell>
          <cell r="G34">
            <v>140000</v>
          </cell>
        </row>
        <row r="35">
          <cell r="C35">
            <v>431460</v>
          </cell>
          <cell r="D35" t="str">
            <v>인천서구</v>
          </cell>
          <cell r="E35">
            <v>140000</v>
          </cell>
          <cell r="F35">
            <v>50000</v>
          </cell>
          <cell r="G35">
            <v>190000</v>
          </cell>
        </row>
        <row r="36">
          <cell r="C36">
            <v>411464</v>
          </cell>
          <cell r="D36" t="str">
            <v>강서점</v>
          </cell>
          <cell r="E36">
            <v>140000</v>
          </cell>
          <cell r="F36">
            <v>589400</v>
          </cell>
          <cell r="G36">
            <v>729400</v>
          </cell>
        </row>
        <row r="37">
          <cell r="C37">
            <v>411468</v>
          </cell>
          <cell r="D37" t="str">
            <v>방배점</v>
          </cell>
          <cell r="E37">
            <v>140000</v>
          </cell>
          <cell r="F37">
            <v>16000</v>
          </cell>
          <cell r="G37">
            <v>156000</v>
          </cell>
        </row>
        <row r="38">
          <cell r="C38">
            <v>411461</v>
          </cell>
          <cell r="D38" t="str">
            <v>아현분점</v>
          </cell>
          <cell r="E38">
            <v>140000</v>
          </cell>
          <cell r="F38">
            <v>8000</v>
          </cell>
          <cell r="G38">
            <v>148000</v>
          </cell>
        </row>
        <row r="39">
          <cell r="C39">
            <v>411470</v>
          </cell>
          <cell r="D39" t="str">
            <v>면목중앙</v>
          </cell>
          <cell r="E39">
            <v>140000</v>
          </cell>
          <cell r="F39">
            <v>19900</v>
          </cell>
          <cell r="G39">
            <v>159900</v>
          </cell>
        </row>
        <row r="40">
          <cell r="C40">
            <v>411447</v>
          </cell>
          <cell r="D40" t="str">
            <v>명일D/T</v>
          </cell>
          <cell r="E40">
            <v>140000</v>
          </cell>
          <cell r="F40">
            <v>52000</v>
          </cell>
          <cell r="G40">
            <v>192000</v>
          </cell>
        </row>
        <row r="41">
          <cell r="C41">
            <v>431463</v>
          </cell>
          <cell r="D41" t="str">
            <v>인천가좌</v>
          </cell>
          <cell r="E41">
            <v>140000</v>
          </cell>
          <cell r="F41">
            <v>28300</v>
          </cell>
          <cell r="G41">
            <v>168300</v>
          </cell>
        </row>
        <row r="42">
          <cell r="C42">
            <v>411481</v>
          </cell>
          <cell r="D42" t="str">
            <v>영프라분점</v>
          </cell>
          <cell r="E42">
            <v>140000</v>
          </cell>
          <cell r="F42">
            <v>22000</v>
          </cell>
          <cell r="G42">
            <v>162000</v>
          </cell>
        </row>
        <row r="43">
          <cell r="C43">
            <v>411486</v>
          </cell>
          <cell r="D43" t="str">
            <v>강변롯데</v>
          </cell>
          <cell r="E43">
            <v>140000</v>
          </cell>
          <cell r="F43">
            <v>48000</v>
          </cell>
          <cell r="G43">
            <v>188000</v>
          </cell>
        </row>
        <row r="44">
          <cell r="C44">
            <v>431538</v>
          </cell>
          <cell r="D44" t="str">
            <v>마그넷서현</v>
          </cell>
          <cell r="E44">
            <v>140000</v>
          </cell>
          <cell r="F44">
            <v>7000</v>
          </cell>
          <cell r="G44">
            <v>147000</v>
          </cell>
        </row>
        <row r="45">
          <cell r="C45">
            <v>411132</v>
          </cell>
          <cell r="D45" t="str">
            <v>공원</v>
          </cell>
          <cell r="E45">
            <v>140000</v>
          </cell>
          <cell r="G45">
            <v>140000</v>
          </cell>
        </row>
        <row r="46">
          <cell r="C46">
            <v>461193</v>
          </cell>
          <cell r="D46" t="str">
            <v>익 산 점</v>
          </cell>
          <cell r="E46">
            <v>140000</v>
          </cell>
          <cell r="G46">
            <v>140000</v>
          </cell>
        </row>
        <row r="47">
          <cell r="C47">
            <v>461465</v>
          </cell>
          <cell r="D47" t="str">
            <v>익산역점</v>
          </cell>
          <cell r="E47">
            <v>140000</v>
          </cell>
          <cell r="G47">
            <v>140000</v>
          </cell>
        </row>
        <row r="48">
          <cell r="C48">
            <v>461430</v>
          </cell>
          <cell r="D48" t="str">
            <v>전주효자</v>
          </cell>
          <cell r="E48">
            <v>140000</v>
          </cell>
          <cell r="F48">
            <v>16300</v>
          </cell>
          <cell r="G48">
            <v>156300</v>
          </cell>
        </row>
        <row r="49">
          <cell r="C49">
            <v>461521</v>
          </cell>
          <cell r="D49" t="str">
            <v>광주대인</v>
          </cell>
          <cell r="E49">
            <v>140000</v>
          </cell>
          <cell r="F49">
            <v>3000</v>
          </cell>
          <cell r="G49">
            <v>143000</v>
          </cell>
        </row>
        <row r="50">
          <cell r="C50">
            <v>451479</v>
          </cell>
          <cell r="D50" t="str">
            <v>대전역</v>
          </cell>
          <cell r="E50">
            <v>140000</v>
          </cell>
          <cell r="G50">
            <v>140000</v>
          </cell>
        </row>
        <row r="51">
          <cell r="C51">
            <v>260250</v>
          </cell>
          <cell r="D51" t="str">
            <v>광주연수센타</v>
          </cell>
          <cell r="G51">
            <v>0</v>
          </cell>
          <cell r="H51" t="str">
            <v>개보수공사</v>
          </cell>
        </row>
        <row r="52">
          <cell r="C52">
            <v>471527</v>
          </cell>
          <cell r="D52" t="str">
            <v>대구까르프</v>
          </cell>
          <cell r="E52">
            <v>140000</v>
          </cell>
          <cell r="F52">
            <v>116000</v>
          </cell>
          <cell r="G52">
            <v>256000</v>
          </cell>
        </row>
        <row r="53">
          <cell r="C53">
            <v>471133</v>
          </cell>
          <cell r="D53" t="str">
            <v>대구동 신 로</v>
          </cell>
          <cell r="E53">
            <v>140000</v>
          </cell>
          <cell r="F53">
            <v>16000</v>
          </cell>
          <cell r="G53">
            <v>156000</v>
          </cell>
        </row>
        <row r="54">
          <cell r="C54">
            <v>471128</v>
          </cell>
          <cell r="D54" t="str">
            <v>포 항 점</v>
          </cell>
          <cell r="E54">
            <v>140000</v>
          </cell>
          <cell r="F54">
            <v>80000</v>
          </cell>
          <cell r="G54">
            <v>220000</v>
          </cell>
        </row>
        <row r="55">
          <cell r="C55">
            <v>421085</v>
          </cell>
          <cell r="D55" t="str">
            <v xml:space="preserve">부산광복 </v>
          </cell>
          <cell r="E55">
            <v>140000</v>
          </cell>
          <cell r="F55">
            <v>50000</v>
          </cell>
          <cell r="G55">
            <v>190000</v>
          </cell>
        </row>
        <row r="56">
          <cell r="C56">
            <v>421219</v>
          </cell>
          <cell r="D56" t="str">
            <v>부산국제</v>
          </cell>
          <cell r="F56">
            <v>32000</v>
          </cell>
          <cell r="G56">
            <v>32000</v>
          </cell>
          <cell r="H56" t="str">
            <v>개보수완료</v>
          </cell>
        </row>
        <row r="57">
          <cell r="C57">
            <v>421171</v>
          </cell>
          <cell r="D57" t="str">
            <v>대연점</v>
          </cell>
          <cell r="E57">
            <v>140000</v>
          </cell>
          <cell r="F57">
            <v>9000</v>
          </cell>
          <cell r="G57">
            <v>149000</v>
          </cell>
        </row>
        <row r="58">
          <cell r="C58">
            <v>421220</v>
          </cell>
          <cell r="D58" t="str">
            <v>동래시장</v>
          </cell>
          <cell r="E58">
            <v>140000</v>
          </cell>
          <cell r="F58">
            <v>53000</v>
          </cell>
          <cell r="G58">
            <v>193000</v>
          </cell>
        </row>
        <row r="59">
          <cell r="C59">
            <v>471473</v>
          </cell>
          <cell r="D59" t="str">
            <v>마산중앙</v>
          </cell>
          <cell r="E59">
            <v>140000</v>
          </cell>
          <cell r="F59">
            <v>179500</v>
          </cell>
          <cell r="G59">
            <v>319500</v>
          </cell>
        </row>
        <row r="60">
          <cell r="C60">
            <v>421432</v>
          </cell>
          <cell r="D60" t="str">
            <v>부산동부</v>
          </cell>
          <cell r="E60">
            <v>140000</v>
          </cell>
          <cell r="G60">
            <v>140000</v>
          </cell>
        </row>
        <row r="61">
          <cell r="C61">
            <v>421434</v>
          </cell>
          <cell r="D61" t="str">
            <v>부산신평</v>
          </cell>
          <cell r="E61">
            <v>140000</v>
          </cell>
          <cell r="G61">
            <v>140000</v>
          </cell>
        </row>
        <row r="62">
          <cell r="C62">
            <v>421217</v>
          </cell>
          <cell r="D62" t="str">
            <v>부산자갈치</v>
          </cell>
          <cell r="E62">
            <v>140000</v>
          </cell>
          <cell r="F62">
            <v>37000</v>
          </cell>
          <cell r="G62">
            <v>177000</v>
          </cell>
        </row>
        <row r="63">
          <cell r="C63">
            <v>421159</v>
          </cell>
          <cell r="D63" t="str">
            <v>부산중구</v>
          </cell>
          <cell r="E63">
            <v>140000</v>
          </cell>
          <cell r="F63">
            <v>85700</v>
          </cell>
          <cell r="G63">
            <v>225700</v>
          </cell>
        </row>
        <row r="64">
          <cell r="C64">
            <v>421131</v>
          </cell>
          <cell r="D64" t="str">
            <v>사직터미날</v>
          </cell>
          <cell r="E64">
            <v>140000</v>
          </cell>
          <cell r="G64">
            <v>140000</v>
          </cell>
        </row>
        <row r="65">
          <cell r="C65">
            <v>421287</v>
          </cell>
          <cell r="D65" t="str">
            <v>스카이프라</v>
          </cell>
          <cell r="E65">
            <v>140000</v>
          </cell>
          <cell r="G65">
            <v>140000</v>
          </cell>
        </row>
        <row r="66">
          <cell r="C66">
            <v>471498</v>
          </cell>
          <cell r="D66" t="str">
            <v>언양메가마트</v>
          </cell>
          <cell r="E66">
            <v>140000</v>
          </cell>
          <cell r="G66">
            <v>140000</v>
          </cell>
        </row>
        <row r="67">
          <cell r="C67">
            <v>421475</v>
          </cell>
          <cell r="D67" t="str">
            <v>부산월드</v>
          </cell>
          <cell r="E67">
            <v>140000</v>
          </cell>
          <cell r="G67">
            <v>140000</v>
          </cell>
        </row>
        <row r="68">
          <cell r="C68">
            <v>411181</v>
          </cell>
          <cell r="D68" t="str">
            <v>구로공단</v>
          </cell>
          <cell r="F68">
            <v>600100</v>
          </cell>
          <cell r="G68">
            <v>600100</v>
          </cell>
        </row>
        <row r="69">
          <cell r="C69">
            <v>411145</v>
          </cell>
          <cell r="D69" t="str">
            <v>대학로</v>
          </cell>
          <cell r="F69">
            <v>25000</v>
          </cell>
          <cell r="G69">
            <v>25000</v>
          </cell>
        </row>
        <row r="70">
          <cell r="C70">
            <v>411079</v>
          </cell>
          <cell r="D70" t="str">
            <v>소공2호</v>
          </cell>
          <cell r="F70">
            <v>16000</v>
          </cell>
          <cell r="G70">
            <v>16000</v>
          </cell>
        </row>
        <row r="71">
          <cell r="C71">
            <v>411215</v>
          </cell>
          <cell r="D71" t="str">
            <v>응암</v>
          </cell>
          <cell r="F71">
            <v>25000</v>
          </cell>
          <cell r="G71">
            <v>25000</v>
          </cell>
        </row>
        <row r="72">
          <cell r="C72">
            <v>421554</v>
          </cell>
          <cell r="D72" t="str">
            <v>대영시네마</v>
          </cell>
          <cell r="F72">
            <v>150000</v>
          </cell>
          <cell r="G72">
            <v>150000</v>
          </cell>
        </row>
        <row r="74">
          <cell r="D74" t="str">
            <v>( 이상62점 )</v>
          </cell>
          <cell r="E74">
            <v>8680000</v>
          </cell>
          <cell r="F74">
            <v>4669100</v>
          </cell>
          <cell r="G74">
            <v>13349100</v>
          </cell>
        </row>
        <row r="75">
          <cell r="C75" t="str">
            <v>CODE</v>
          </cell>
          <cell r="D75" t="str">
            <v>점 포 명</v>
          </cell>
          <cell r="E75" t="str">
            <v>용역비</v>
          </cell>
          <cell r="F75" t="str">
            <v>부품비</v>
          </cell>
          <cell r="G75" t="str">
            <v>합    계</v>
          </cell>
          <cell r="H75" t="str">
            <v>비     고</v>
          </cell>
        </row>
        <row r="76">
          <cell r="C76">
            <v>512012</v>
          </cell>
          <cell r="D76" t="str">
            <v>강남터미널</v>
          </cell>
          <cell r="E76">
            <v>140000</v>
          </cell>
          <cell r="F76">
            <v>56000</v>
          </cell>
          <cell r="G76">
            <v>196000</v>
          </cell>
        </row>
        <row r="77">
          <cell r="C77">
            <v>512016</v>
          </cell>
          <cell r="D77" t="str">
            <v>서 소 문</v>
          </cell>
          <cell r="E77">
            <v>140000</v>
          </cell>
          <cell r="G77">
            <v>140000</v>
          </cell>
        </row>
        <row r="78">
          <cell r="C78">
            <v>512069</v>
          </cell>
          <cell r="D78" t="str">
            <v>봉 천 점</v>
          </cell>
          <cell r="E78">
            <v>140000</v>
          </cell>
          <cell r="F78">
            <v>6600</v>
          </cell>
          <cell r="G78">
            <v>146600</v>
          </cell>
        </row>
        <row r="79">
          <cell r="C79">
            <v>512078</v>
          </cell>
          <cell r="D79" t="str">
            <v>구 의 점</v>
          </cell>
          <cell r="E79">
            <v>140000</v>
          </cell>
          <cell r="F79">
            <v>181700</v>
          </cell>
          <cell r="G79">
            <v>321700</v>
          </cell>
        </row>
        <row r="80">
          <cell r="C80">
            <v>532490</v>
          </cell>
          <cell r="D80" t="str">
            <v>구리LG</v>
          </cell>
          <cell r="E80">
            <v>140000</v>
          </cell>
          <cell r="F80">
            <v>21800</v>
          </cell>
          <cell r="G80">
            <v>161800</v>
          </cell>
        </row>
        <row r="81">
          <cell r="C81">
            <v>532094</v>
          </cell>
          <cell r="D81" t="str">
            <v>동 인 천</v>
          </cell>
          <cell r="E81">
            <v>140000</v>
          </cell>
          <cell r="F81">
            <v>4000</v>
          </cell>
          <cell r="G81">
            <v>144000</v>
          </cell>
        </row>
        <row r="82">
          <cell r="C82">
            <v>532324</v>
          </cell>
          <cell r="D82" t="str">
            <v>성남양지</v>
          </cell>
          <cell r="E82">
            <v>140000</v>
          </cell>
          <cell r="F82">
            <v>12000</v>
          </cell>
          <cell r="G82">
            <v>152000</v>
          </cell>
        </row>
        <row r="83">
          <cell r="C83">
            <v>512259</v>
          </cell>
          <cell r="D83" t="str">
            <v>모래내</v>
          </cell>
          <cell r="E83">
            <v>140000</v>
          </cell>
          <cell r="G83">
            <v>140000</v>
          </cell>
        </row>
        <row r="84">
          <cell r="C84">
            <v>532120</v>
          </cell>
          <cell r="D84" t="str">
            <v>수원터미널</v>
          </cell>
          <cell r="E84">
            <v>140000</v>
          </cell>
          <cell r="G84">
            <v>140000</v>
          </cell>
        </row>
        <row r="85">
          <cell r="C85">
            <v>532458</v>
          </cell>
          <cell r="D85" t="str">
            <v>수원북문</v>
          </cell>
          <cell r="E85">
            <v>140000</v>
          </cell>
          <cell r="F85">
            <v>108000</v>
          </cell>
          <cell r="G85">
            <v>248000</v>
          </cell>
        </row>
        <row r="86">
          <cell r="C86">
            <v>512149</v>
          </cell>
          <cell r="D86" t="str">
            <v>강 동 점</v>
          </cell>
          <cell r="G86">
            <v>0</v>
          </cell>
          <cell r="H86" t="str">
            <v>개보수공사</v>
          </cell>
        </row>
        <row r="87">
          <cell r="C87">
            <v>532330</v>
          </cell>
          <cell r="D87" t="str">
            <v>부천원미</v>
          </cell>
          <cell r="E87">
            <v>140000</v>
          </cell>
          <cell r="F87">
            <v>135000</v>
          </cell>
          <cell r="G87">
            <v>275000</v>
          </cell>
        </row>
        <row r="88">
          <cell r="C88">
            <v>532182</v>
          </cell>
          <cell r="D88" t="str">
            <v>부천남부</v>
          </cell>
          <cell r="E88">
            <v>140000</v>
          </cell>
          <cell r="F88">
            <v>14000</v>
          </cell>
          <cell r="G88">
            <v>154000</v>
          </cell>
        </row>
        <row r="89">
          <cell r="C89">
            <v>512189</v>
          </cell>
          <cell r="D89" t="str">
            <v>홍 제 점</v>
          </cell>
          <cell r="E89">
            <v>140000</v>
          </cell>
          <cell r="F89">
            <v>395100</v>
          </cell>
          <cell r="G89">
            <v>535100</v>
          </cell>
        </row>
        <row r="90">
          <cell r="C90">
            <v>532204</v>
          </cell>
          <cell r="D90" t="str">
            <v>이 천 점</v>
          </cell>
          <cell r="E90">
            <v>140000</v>
          </cell>
          <cell r="F90">
            <v>37000</v>
          </cell>
          <cell r="G90">
            <v>177000</v>
          </cell>
        </row>
        <row r="91">
          <cell r="C91">
            <v>532208</v>
          </cell>
          <cell r="D91" t="str">
            <v>상 대 원</v>
          </cell>
          <cell r="E91">
            <v>140000</v>
          </cell>
          <cell r="F91">
            <v>127000</v>
          </cell>
          <cell r="G91">
            <v>267000</v>
          </cell>
        </row>
        <row r="92">
          <cell r="C92">
            <v>532212</v>
          </cell>
          <cell r="D92" t="str">
            <v>일산시장</v>
          </cell>
          <cell r="G92">
            <v>0</v>
          </cell>
          <cell r="H92" t="str">
            <v>개보수공사</v>
          </cell>
        </row>
        <row r="93">
          <cell r="C93">
            <v>512226</v>
          </cell>
          <cell r="D93" t="str">
            <v>신촌현대</v>
          </cell>
          <cell r="E93">
            <v>140000</v>
          </cell>
          <cell r="F93">
            <v>6000</v>
          </cell>
          <cell r="G93">
            <v>146000</v>
          </cell>
        </row>
        <row r="94">
          <cell r="C94">
            <v>532231</v>
          </cell>
          <cell r="D94" t="str">
            <v>수원시네마</v>
          </cell>
          <cell r="E94">
            <v>140000</v>
          </cell>
          <cell r="F94">
            <v>90000</v>
          </cell>
          <cell r="G94">
            <v>230000</v>
          </cell>
        </row>
        <row r="95">
          <cell r="C95">
            <v>532237</v>
          </cell>
          <cell r="D95" t="str">
            <v>부천송내</v>
          </cell>
          <cell r="E95">
            <v>140000</v>
          </cell>
          <cell r="G95">
            <v>140000</v>
          </cell>
        </row>
        <row r="96">
          <cell r="C96">
            <v>532227</v>
          </cell>
          <cell r="D96" t="str">
            <v>안산고잔</v>
          </cell>
          <cell r="E96">
            <v>140000</v>
          </cell>
          <cell r="G96">
            <v>140000</v>
          </cell>
        </row>
        <row r="97">
          <cell r="C97">
            <v>532244</v>
          </cell>
          <cell r="D97" t="str">
            <v>평촌범계</v>
          </cell>
          <cell r="G97">
            <v>0</v>
          </cell>
          <cell r="H97" t="str">
            <v>개보수공사</v>
          </cell>
        </row>
        <row r="98">
          <cell r="C98">
            <v>542369</v>
          </cell>
          <cell r="D98" t="str">
            <v>태백점</v>
          </cell>
          <cell r="E98">
            <v>170000</v>
          </cell>
          <cell r="G98">
            <v>170000</v>
          </cell>
        </row>
        <row r="99">
          <cell r="C99">
            <v>532248</v>
          </cell>
          <cell r="D99" t="str">
            <v>안산상록수</v>
          </cell>
          <cell r="E99">
            <v>140000</v>
          </cell>
          <cell r="F99">
            <v>12500</v>
          </cell>
          <cell r="G99">
            <v>152500</v>
          </cell>
        </row>
        <row r="100">
          <cell r="C100">
            <v>512264</v>
          </cell>
          <cell r="D100" t="str">
            <v>화 양 리</v>
          </cell>
          <cell r="E100">
            <v>140000</v>
          </cell>
          <cell r="F100">
            <v>36000</v>
          </cell>
          <cell r="G100">
            <v>176000</v>
          </cell>
        </row>
        <row r="101">
          <cell r="C101">
            <v>532263</v>
          </cell>
          <cell r="D101" t="str">
            <v>안 성 점</v>
          </cell>
          <cell r="G101">
            <v>0</v>
          </cell>
          <cell r="H101" t="str">
            <v>개보수공사</v>
          </cell>
        </row>
        <row r="102">
          <cell r="C102">
            <v>532267</v>
          </cell>
          <cell r="D102" t="str">
            <v>월 미 점</v>
          </cell>
          <cell r="E102">
            <v>140000</v>
          </cell>
          <cell r="G102">
            <v>140000</v>
          </cell>
        </row>
        <row r="103">
          <cell r="C103">
            <v>532322</v>
          </cell>
          <cell r="D103" t="str">
            <v>부천원종</v>
          </cell>
          <cell r="E103">
            <v>140000</v>
          </cell>
          <cell r="G103">
            <v>140000</v>
          </cell>
        </row>
        <row r="104">
          <cell r="C104">
            <v>512279</v>
          </cell>
          <cell r="D104" t="str">
            <v>신 사 점</v>
          </cell>
          <cell r="E104">
            <v>140000</v>
          </cell>
          <cell r="G104">
            <v>140000</v>
          </cell>
        </row>
        <row r="105">
          <cell r="C105">
            <v>532283</v>
          </cell>
          <cell r="D105" t="str">
            <v>분당수내</v>
          </cell>
          <cell r="E105">
            <v>140000</v>
          </cell>
          <cell r="G105">
            <v>140000</v>
          </cell>
        </row>
        <row r="106">
          <cell r="C106">
            <v>532301</v>
          </cell>
          <cell r="D106" t="str">
            <v>광명철산</v>
          </cell>
          <cell r="E106">
            <v>140000</v>
          </cell>
          <cell r="F106">
            <v>28000</v>
          </cell>
          <cell r="G106">
            <v>168000</v>
          </cell>
        </row>
        <row r="107">
          <cell r="C107">
            <v>512309</v>
          </cell>
          <cell r="D107" t="str">
            <v>면 목 점</v>
          </cell>
          <cell r="E107">
            <v>140000</v>
          </cell>
          <cell r="F107">
            <v>25500</v>
          </cell>
          <cell r="G107">
            <v>165500</v>
          </cell>
        </row>
        <row r="108">
          <cell r="C108">
            <v>532312</v>
          </cell>
          <cell r="D108" t="str">
            <v>신 갈 점</v>
          </cell>
          <cell r="E108">
            <v>140000</v>
          </cell>
          <cell r="F108">
            <v>30000</v>
          </cell>
          <cell r="G108">
            <v>170000</v>
          </cell>
        </row>
        <row r="109">
          <cell r="C109">
            <v>542452</v>
          </cell>
          <cell r="D109" t="str">
            <v>원주남부</v>
          </cell>
          <cell r="E109">
            <v>140000</v>
          </cell>
          <cell r="G109">
            <v>140000</v>
          </cell>
        </row>
        <row r="110">
          <cell r="C110">
            <v>532393</v>
          </cell>
          <cell r="D110" t="str">
            <v>광명나산</v>
          </cell>
          <cell r="E110">
            <v>170000</v>
          </cell>
          <cell r="F110">
            <v>39800</v>
          </cell>
          <cell r="G110">
            <v>209800</v>
          </cell>
        </row>
        <row r="111">
          <cell r="C111">
            <v>532368</v>
          </cell>
          <cell r="D111" t="str">
            <v>고양행신</v>
          </cell>
          <cell r="E111">
            <v>140000</v>
          </cell>
          <cell r="F111">
            <v>41000</v>
          </cell>
          <cell r="G111">
            <v>181000</v>
          </cell>
        </row>
        <row r="112">
          <cell r="C112">
            <v>532358</v>
          </cell>
          <cell r="D112" t="str">
            <v>하남덕풍</v>
          </cell>
          <cell r="E112">
            <v>140000</v>
          </cell>
          <cell r="G112">
            <v>140000</v>
          </cell>
        </row>
        <row r="113">
          <cell r="C113">
            <v>532374</v>
          </cell>
          <cell r="D113" t="str">
            <v>분당초림</v>
          </cell>
          <cell r="E113">
            <v>140000</v>
          </cell>
          <cell r="G113">
            <v>140000</v>
          </cell>
        </row>
        <row r="114">
          <cell r="C114">
            <v>542052</v>
          </cell>
          <cell r="D114" t="str">
            <v>원주일산</v>
          </cell>
          <cell r="E114">
            <v>140000</v>
          </cell>
          <cell r="F114">
            <v>108000</v>
          </cell>
          <cell r="G114">
            <v>248000</v>
          </cell>
        </row>
        <row r="115">
          <cell r="C115">
            <v>532355</v>
          </cell>
          <cell r="D115" t="str">
            <v>광명중앙</v>
          </cell>
          <cell r="E115">
            <v>170000</v>
          </cell>
          <cell r="G115">
            <v>170000</v>
          </cell>
        </row>
        <row r="116">
          <cell r="C116">
            <v>532040</v>
          </cell>
          <cell r="D116" t="str">
            <v>의정부</v>
          </cell>
          <cell r="E116">
            <v>140000</v>
          </cell>
          <cell r="G116">
            <v>140000</v>
          </cell>
        </row>
        <row r="117">
          <cell r="C117">
            <v>532378</v>
          </cell>
          <cell r="D117" t="str">
            <v>의정부북부</v>
          </cell>
          <cell r="E117">
            <v>170000</v>
          </cell>
          <cell r="F117">
            <v>91000</v>
          </cell>
          <cell r="G117">
            <v>261000</v>
          </cell>
        </row>
        <row r="118">
          <cell r="C118">
            <v>532243</v>
          </cell>
          <cell r="D118" t="str">
            <v>부천북부</v>
          </cell>
          <cell r="E118">
            <v>140000</v>
          </cell>
          <cell r="F118">
            <v>43000</v>
          </cell>
          <cell r="G118">
            <v>183000</v>
          </cell>
        </row>
        <row r="119">
          <cell r="C119">
            <v>532387</v>
          </cell>
          <cell r="D119" t="str">
            <v>용인터미날</v>
          </cell>
          <cell r="E119">
            <v>140000</v>
          </cell>
          <cell r="F119">
            <v>52000</v>
          </cell>
          <cell r="G119">
            <v>192000</v>
          </cell>
        </row>
        <row r="120">
          <cell r="C120">
            <v>532346</v>
          </cell>
          <cell r="D120" t="str">
            <v>역곡북부</v>
          </cell>
          <cell r="E120">
            <v>170000</v>
          </cell>
          <cell r="G120">
            <v>170000</v>
          </cell>
        </row>
        <row r="121">
          <cell r="C121">
            <v>512478</v>
          </cell>
          <cell r="D121" t="str">
            <v>대신시장</v>
          </cell>
          <cell r="E121">
            <v>140000</v>
          </cell>
          <cell r="F121">
            <v>75000</v>
          </cell>
          <cell r="G121">
            <v>215000</v>
          </cell>
        </row>
        <row r="122">
          <cell r="C122">
            <v>512228</v>
          </cell>
          <cell r="D122" t="str">
            <v>성대시장</v>
          </cell>
          <cell r="E122">
            <v>140000</v>
          </cell>
          <cell r="G122">
            <v>140000</v>
          </cell>
        </row>
        <row r="123">
          <cell r="C123">
            <v>532032</v>
          </cell>
          <cell r="D123" t="str">
            <v>수원크로바</v>
          </cell>
          <cell r="E123">
            <v>140000</v>
          </cell>
          <cell r="G123">
            <v>140000</v>
          </cell>
        </row>
        <row r="124">
          <cell r="C124">
            <v>532306</v>
          </cell>
          <cell r="D124" t="str">
            <v>오산점</v>
          </cell>
          <cell r="E124">
            <v>140000</v>
          </cell>
          <cell r="F124">
            <v>52800</v>
          </cell>
          <cell r="G124">
            <v>192800</v>
          </cell>
        </row>
        <row r="125">
          <cell r="C125">
            <v>512281</v>
          </cell>
          <cell r="D125" t="str">
            <v>신정점</v>
          </cell>
          <cell r="E125">
            <v>140000</v>
          </cell>
          <cell r="G125">
            <v>140000</v>
          </cell>
        </row>
        <row r="126">
          <cell r="C126">
            <v>532041</v>
          </cell>
          <cell r="D126" t="str">
            <v>성남점</v>
          </cell>
          <cell r="E126">
            <v>140000</v>
          </cell>
          <cell r="G126">
            <v>140000</v>
          </cell>
        </row>
        <row r="127">
          <cell r="C127">
            <v>512332</v>
          </cell>
          <cell r="D127" t="str">
            <v>석촌점</v>
          </cell>
          <cell r="E127">
            <v>140000</v>
          </cell>
          <cell r="F127">
            <v>15000</v>
          </cell>
          <cell r="G127">
            <v>155000</v>
          </cell>
        </row>
        <row r="128">
          <cell r="C128">
            <v>532106</v>
          </cell>
          <cell r="D128" t="str">
            <v>수원남문</v>
          </cell>
          <cell r="E128">
            <v>140000</v>
          </cell>
          <cell r="F128">
            <v>30000</v>
          </cell>
          <cell r="G128">
            <v>170000</v>
          </cell>
        </row>
        <row r="129">
          <cell r="C129">
            <v>512487</v>
          </cell>
          <cell r="D129" t="str">
            <v>강변테크노</v>
          </cell>
          <cell r="E129">
            <v>140000</v>
          </cell>
          <cell r="F129">
            <v>194000</v>
          </cell>
          <cell r="G129">
            <v>334000</v>
          </cell>
        </row>
        <row r="130">
          <cell r="C130">
            <v>512029</v>
          </cell>
          <cell r="D130" t="str">
            <v>개봉점</v>
          </cell>
          <cell r="G130">
            <v>0</v>
          </cell>
          <cell r="H130" t="str">
            <v>개보수공사</v>
          </cell>
        </row>
        <row r="131">
          <cell r="C131">
            <v>512507</v>
          </cell>
          <cell r="D131" t="str">
            <v>거여점</v>
          </cell>
          <cell r="E131">
            <v>140000</v>
          </cell>
          <cell r="G131">
            <v>140000</v>
          </cell>
        </row>
        <row r="132">
          <cell r="C132">
            <v>512428</v>
          </cell>
          <cell r="D132" t="str">
            <v>구로서부</v>
          </cell>
          <cell r="E132">
            <v>170000</v>
          </cell>
          <cell r="F132">
            <v>142000</v>
          </cell>
          <cell r="G132">
            <v>312000</v>
          </cell>
        </row>
        <row r="133">
          <cell r="C133">
            <v>512495</v>
          </cell>
          <cell r="D133" t="str">
            <v>금호점</v>
          </cell>
          <cell r="E133">
            <v>140000</v>
          </cell>
          <cell r="G133">
            <v>140000</v>
          </cell>
        </row>
        <row r="134">
          <cell r="C134">
            <v>532357</v>
          </cell>
          <cell r="D134" t="str">
            <v>동수원</v>
          </cell>
          <cell r="E134">
            <v>140000</v>
          </cell>
          <cell r="F134">
            <v>60800</v>
          </cell>
          <cell r="G134">
            <v>200800</v>
          </cell>
        </row>
        <row r="135">
          <cell r="C135">
            <v>532327</v>
          </cell>
          <cell r="D135" t="str">
            <v>분당서현</v>
          </cell>
          <cell r="E135">
            <v>140000</v>
          </cell>
          <cell r="F135">
            <v>97600</v>
          </cell>
          <cell r="G135">
            <v>237600</v>
          </cell>
        </row>
        <row r="136">
          <cell r="C136">
            <v>532083</v>
          </cell>
          <cell r="D136" t="str">
            <v>서울랜드</v>
          </cell>
          <cell r="G136">
            <v>0</v>
          </cell>
          <cell r="H136" t="str">
            <v>개보수공사</v>
          </cell>
        </row>
        <row r="137">
          <cell r="C137">
            <v>532426</v>
          </cell>
          <cell r="D137" t="str">
            <v>수원화서</v>
          </cell>
          <cell r="E137">
            <v>140000</v>
          </cell>
          <cell r="G137">
            <v>140000</v>
          </cell>
        </row>
        <row r="138">
          <cell r="C138">
            <v>512511</v>
          </cell>
          <cell r="D138" t="str">
            <v>숙대점</v>
          </cell>
          <cell r="E138">
            <v>140000</v>
          </cell>
          <cell r="F138">
            <v>25400</v>
          </cell>
          <cell r="G138">
            <v>165400</v>
          </cell>
        </row>
        <row r="139">
          <cell r="C139">
            <v>532146</v>
          </cell>
          <cell r="D139" t="str">
            <v>안양일번가</v>
          </cell>
          <cell r="E139">
            <v>140000</v>
          </cell>
          <cell r="F139">
            <v>164000</v>
          </cell>
          <cell r="G139">
            <v>304000</v>
          </cell>
        </row>
        <row r="140">
          <cell r="C140">
            <v>512207</v>
          </cell>
          <cell r="D140" t="str">
            <v>오류점</v>
          </cell>
          <cell r="E140">
            <v>140000</v>
          </cell>
          <cell r="G140">
            <v>140000</v>
          </cell>
        </row>
        <row r="141">
          <cell r="C141">
            <v>542299</v>
          </cell>
          <cell r="D141" t="str">
            <v>강릉터미날</v>
          </cell>
          <cell r="E141">
            <v>170000</v>
          </cell>
          <cell r="F141">
            <v>72000</v>
          </cell>
          <cell r="G141">
            <v>242000</v>
          </cell>
        </row>
        <row r="142">
          <cell r="C142">
            <v>532303</v>
          </cell>
          <cell r="D142" t="str">
            <v>성남모란</v>
          </cell>
          <cell r="E142">
            <v>140000</v>
          </cell>
          <cell r="F142">
            <v>46000</v>
          </cell>
          <cell r="G142">
            <v>186000</v>
          </cell>
        </row>
        <row r="143">
          <cell r="C143">
            <v>512501</v>
          </cell>
          <cell r="D143" t="str">
            <v>강변시네마</v>
          </cell>
          <cell r="E143">
            <v>140000</v>
          </cell>
          <cell r="F143">
            <v>507000</v>
          </cell>
          <cell r="G143">
            <v>647000</v>
          </cell>
        </row>
        <row r="144">
          <cell r="C144">
            <v>532373</v>
          </cell>
          <cell r="D144" t="str">
            <v>동두천</v>
          </cell>
          <cell r="E144">
            <v>170000</v>
          </cell>
          <cell r="F144">
            <v>518000</v>
          </cell>
          <cell r="G144">
            <v>688000</v>
          </cell>
        </row>
        <row r="145">
          <cell r="C145">
            <v>542230</v>
          </cell>
          <cell r="D145" t="str">
            <v>속초점</v>
          </cell>
          <cell r="E145">
            <v>170000</v>
          </cell>
          <cell r="F145">
            <v>1161200</v>
          </cell>
          <cell r="G145">
            <v>1331200</v>
          </cell>
        </row>
        <row r="146">
          <cell r="C146">
            <v>532491</v>
          </cell>
          <cell r="D146" t="str">
            <v>평촌킴스</v>
          </cell>
          <cell r="E146">
            <v>140000</v>
          </cell>
          <cell r="F146">
            <v>64000</v>
          </cell>
          <cell r="G146">
            <v>204000</v>
          </cell>
        </row>
        <row r="147">
          <cell r="C147">
            <v>532335</v>
          </cell>
          <cell r="D147" t="str">
            <v>평택뉴코아</v>
          </cell>
          <cell r="E147">
            <v>140000</v>
          </cell>
          <cell r="F147">
            <v>40000</v>
          </cell>
          <cell r="G147">
            <v>180000</v>
          </cell>
        </row>
        <row r="148">
          <cell r="C148">
            <v>532400</v>
          </cell>
          <cell r="D148" t="str">
            <v>김포점</v>
          </cell>
          <cell r="E148">
            <v>140000</v>
          </cell>
          <cell r="G148">
            <v>140000</v>
          </cell>
        </row>
        <row r="149">
          <cell r="C149">
            <v>532405</v>
          </cell>
          <cell r="D149" t="str">
            <v>강화점</v>
          </cell>
          <cell r="E149">
            <v>140000</v>
          </cell>
          <cell r="G149">
            <v>140000</v>
          </cell>
        </row>
        <row r="150">
          <cell r="C150">
            <v>512315</v>
          </cell>
          <cell r="D150" t="str">
            <v>구로애경</v>
          </cell>
          <cell r="E150">
            <v>140000</v>
          </cell>
          <cell r="F150">
            <v>21000</v>
          </cell>
          <cell r="G150">
            <v>161000</v>
          </cell>
        </row>
        <row r="151">
          <cell r="C151">
            <v>512504</v>
          </cell>
          <cell r="D151" t="str">
            <v>반포뉴코아</v>
          </cell>
          <cell r="E151">
            <v>140000</v>
          </cell>
          <cell r="F151">
            <v>8000</v>
          </cell>
          <cell r="G151">
            <v>148000</v>
          </cell>
        </row>
        <row r="152">
          <cell r="C152">
            <v>532190</v>
          </cell>
          <cell r="D152" t="str">
            <v>수원매탄</v>
          </cell>
          <cell r="E152">
            <v>140000</v>
          </cell>
          <cell r="F152">
            <v>43000</v>
          </cell>
          <cell r="G152">
            <v>183000</v>
          </cell>
        </row>
        <row r="153">
          <cell r="C153">
            <v>532345</v>
          </cell>
          <cell r="D153" t="str">
            <v>산본중앙</v>
          </cell>
          <cell r="E153">
            <v>140000</v>
          </cell>
          <cell r="F153">
            <v>10000</v>
          </cell>
          <cell r="G153">
            <v>150000</v>
          </cell>
        </row>
        <row r="154">
          <cell r="C154">
            <v>532334</v>
          </cell>
          <cell r="D154" t="str">
            <v>양주리치마트</v>
          </cell>
          <cell r="E154">
            <v>140000</v>
          </cell>
          <cell r="G154">
            <v>140000</v>
          </cell>
        </row>
        <row r="155">
          <cell r="C155">
            <v>512070</v>
          </cell>
          <cell r="D155" t="str">
            <v>명일점</v>
          </cell>
          <cell r="E155">
            <v>140000</v>
          </cell>
          <cell r="F155">
            <v>89300</v>
          </cell>
          <cell r="G155">
            <v>229300</v>
          </cell>
          <cell r="H155" t="str">
            <v>M/T(신규)가입</v>
          </cell>
        </row>
        <row r="156">
          <cell r="C156">
            <v>512109</v>
          </cell>
          <cell r="D156" t="str">
            <v>사당점</v>
          </cell>
          <cell r="E156">
            <v>140000</v>
          </cell>
          <cell r="F156">
            <v>13500</v>
          </cell>
          <cell r="G156">
            <v>153500</v>
          </cell>
          <cell r="H156" t="str">
            <v>M/T(신규)가입</v>
          </cell>
        </row>
        <row r="157">
          <cell r="C157">
            <v>532343</v>
          </cell>
          <cell r="D157" t="str">
            <v>용인수지</v>
          </cell>
          <cell r="E157">
            <v>170000</v>
          </cell>
          <cell r="G157">
            <v>170000</v>
          </cell>
          <cell r="H157" t="str">
            <v>M/T(신규)가입</v>
          </cell>
        </row>
        <row r="158">
          <cell r="C158">
            <v>532311</v>
          </cell>
          <cell r="D158" t="str">
            <v>안양본점</v>
          </cell>
          <cell r="E158">
            <v>140000</v>
          </cell>
          <cell r="G158">
            <v>140000</v>
          </cell>
          <cell r="H158" t="str">
            <v>M/T(신규)가입</v>
          </cell>
        </row>
        <row r="159">
          <cell r="C159">
            <v>512339</v>
          </cell>
          <cell r="D159" t="str">
            <v>방학점</v>
          </cell>
          <cell r="E159">
            <v>170000</v>
          </cell>
          <cell r="F159">
            <v>89100</v>
          </cell>
          <cell r="G159">
            <v>259100</v>
          </cell>
          <cell r="H159" t="str">
            <v>M/T(신규)가입</v>
          </cell>
        </row>
        <row r="160">
          <cell r="C160">
            <v>512096</v>
          </cell>
          <cell r="D160" t="str">
            <v>상계점</v>
          </cell>
          <cell r="E160">
            <v>140000</v>
          </cell>
          <cell r="F160">
            <v>333000</v>
          </cell>
          <cell r="G160">
            <v>473000</v>
          </cell>
          <cell r="H160" t="str">
            <v>M/T(신규)가입</v>
          </cell>
        </row>
        <row r="161">
          <cell r="C161">
            <v>512449</v>
          </cell>
          <cell r="D161" t="str">
            <v>신길점</v>
          </cell>
          <cell r="E161">
            <v>170000</v>
          </cell>
          <cell r="G161">
            <v>170000</v>
          </cell>
          <cell r="H161" t="str">
            <v>M/T(신규)가입</v>
          </cell>
        </row>
        <row r="162">
          <cell r="C162">
            <v>512506</v>
          </cell>
          <cell r="D162" t="str">
            <v>노원역</v>
          </cell>
          <cell r="E162">
            <v>140000</v>
          </cell>
          <cell r="F162">
            <v>99000</v>
          </cell>
          <cell r="G162">
            <v>239000</v>
          </cell>
          <cell r="H162" t="str">
            <v>M/T(신규)가입</v>
          </cell>
        </row>
        <row r="163">
          <cell r="C163">
            <v>512156</v>
          </cell>
          <cell r="D163" t="str">
            <v>길음점</v>
          </cell>
          <cell r="E163">
            <v>140000</v>
          </cell>
          <cell r="F163">
            <v>15000</v>
          </cell>
          <cell r="G163">
            <v>155000</v>
          </cell>
          <cell r="H163" t="str">
            <v>M/T(신규)가입</v>
          </cell>
        </row>
        <row r="164">
          <cell r="C164">
            <v>532437</v>
          </cell>
          <cell r="D164" t="str">
            <v>인천신기</v>
          </cell>
          <cell r="E164">
            <v>140000</v>
          </cell>
          <cell r="F164">
            <v>115400</v>
          </cell>
          <cell r="G164">
            <v>255400</v>
          </cell>
          <cell r="H164" t="str">
            <v>M/T(신규)가입</v>
          </cell>
        </row>
        <row r="165">
          <cell r="C165">
            <v>532199</v>
          </cell>
          <cell r="D165" t="str">
            <v>성남신흥</v>
          </cell>
          <cell r="E165">
            <v>170000</v>
          </cell>
          <cell r="F165">
            <v>111000</v>
          </cell>
          <cell r="G165">
            <v>281000</v>
          </cell>
          <cell r="H165" t="str">
            <v>M/T(신규)가입</v>
          </cell>
        </row>
        <row r="166">
          <cell r="C166">
            <v>532342</v>
          </cell>
          <cell r="D166" t="str">
            <v>안양중앙</v>
          </cell>
          <cell r="E166">
            <v>140000</v>
          </cell>
          <cell r="F166">
            <v>16500</v>
          </cell>
          <cell r="G166">
            <v>156500</v>
          </cell>
          <cell r="H166" t="str">
            <v>M/T(신규)가입</v>
          </cell>
        </row>
        <row r="167">
          <cell r="C167">
            <v>512485</v>
          </cell>
          <cell r="D167" t="str">
            <v>천호시장</v>
          </cell>
          <cell r="E167">
            <v>170000</v>
          </cell>
          <cell r="G167">
            <v>170000</v>
          </cell>
          <cell r="H167" t="str">
            <v>M/T(신규)가입</v>
          </cell>
        </row>
        <row r="168">
          <cell r="C168">
            <v>512349</v>
          </cell>
          <cell r="D168" t="str">
            <v>노량진</v>
          </cell>
          <cell r="E168">
            <v>140000</v>
          </cell>
          <cell r="F168">
            <v>15000</v>
          </cell>
          <cell r="G168">
            <v>155000</v>
          </cell>
          <cell r="H168" t="str">
            <v>M/T(신규)가입</v>
          </cell>
        </row>
        <row r="169">
          <cell r="C169">
            <v>512476</v>
          </cell>
          <cell r="D169" t="str">
            <v>신림역</v>
          </cell>
          <cell r="E169">
            <v>140000</v>
          </cell>
          <cell r="G169">
            <v>140000</v>
          </cell>
          <cell r="H169" t="str">
            <v>M/T(신규)가입</v>
          </cell>
        </row>
        <row r="170">
          <cell r="C170">
            <v>512510</v>
          </cell>
          <cell r="D170" t="str">
            <v>수유시장</v>
          </cell>
          <cell r="E170">
            <v>140000</v>
          </cell>
          <cell r="G170">
            <v>140000</v>
          </cell>
          <cell r="H170" t="str">
            <v>M/T(신규)가입</v>
          </cell>
        </row>
        <row r="171">
          <cell r="C171">
            <v>512256</v>
          </cell>
          <cell r="D171" t="str">
            <v>중량교</v>
          </cell>
          <cell r="E171">
            <v>140000</v>
          </cell>
          <cell r="F171">
            <v>54700</v>
          </cell>
          <cell r="G171">
            <v>194700</v>
          </cell>
          <cell r="H171" t="str">
            <v>M/T(신규)가입</v>
          </cell>
        </row>
        <row r="172">
          <cell r="C172">
            <v>532275</v>
          </cell>
          <cell r="D172" t="str">
            <v>금촌점</v>
          </cell>
          <cell r="E172">
            <v>140000</v>
          </cell>
          <cell r="F172">
            <v>24800</v>
          </cell>
          <cell r="G172">
            <v>164800</v>
          </cell>
          <cell r="H172" t="str">
            <v>M/T(신규)가입</v>
          </cell>
        </row>
        <row r="173">
          <cell r="C173">
            <v>512377</v>
          </cell>
          <cell r="D173" t="str">
            <v>공항시장</v>
          </cell>
          <cell r="E173">
            <v>140000</v>
          </cell>
          <cell r="F173">
            <v>235000</v>
          </cell>
          <cell r="G173">
            <v>375000</v>
          </cell>
          <cell r="H173" t="str">
            <v>M/T(신규)가입</v>
          </cell>
        </row>
        <row r="174">
          <cell r="C174">
            <v>552102</v>
          </cell>
          <cell r="D174" t="str">
            <v>아라리오</v>
          </cell>
          <cell r="E174">
            <v>140000</v>
          </cell>
          <cell r="F174">
            <v>268000</v>
          </cell>
          <cell r="G174">
            <v>408000</v>
          </cell>
        </row>
        <row r="175">
          <cell r="C175">
            <v>552202</v>
          </cell>
          <cell r="D175" t="str">
            <v>온 양 점</v>
          </cell>
          <cell r="E175">
            <v>140000</v>
          </cell>
          <cell r="F175">
            <v>21000</v>
          </cell>
          <cell r="G175">
            <v>161000</v>
          </cell>
        </row>
        <row r="176">
          <cell r="C176">
            <v>552262</v>
          </cell>
          <cell r="D176" t="str">
            <v>공 주 점</v>
          </cell>
          <cell r="E176">
            <v>140000</v>
          </cell>
          <cell r="F176">
            <v>16000</v>
          </cell>
          <cell r="G176">
            <v>156000</v>
          </cell>
        </row>
        <row r="177">
          <cell r="C177">
            <v>552282</v>
          </cell>
          <cell r="D177" t="str">
            <v>대 천 점</v>
          </cell>
          <cell r="E177">
            <v>140000</v>
          </cell>
          <cell r="G177">
            <v>140000</v>
          </cell>
        </row>
        <row r="178">
          <cell r="C178">
            <v>552210</v>
          </cell>
          <cell r="D178" t="str">
            <v>대전유성</v>
          </cell>
          <cell r="E178">
            <v>140000</v>
          </cell>
          <cell r="F178">
            <v>38100</v>
          </cell>
          <cell r="G178">
            <v>178100</v>
          </cell>
        </row>
        <row r="179">
          <cell r="C179">
            <v>552396</v>
          </cell>
          <cell r="D179" t="str">
            <v>대전도마</v>
          </cell>
          <cell r="E179">
            <v>140000</v>
          </cell>
          <cell r="G179">
            <v>140000</v>
          </cell>
        </row>
        <row r="180">
          <cell r="C180">
            <v>552183</v>
          </cell>
          <cell r="D180" t="str">
            <v>대전동부</v>
          </cell>
          <cell r="E180">
            <v>140000</v>
          </cell>
          <cell r="F180">
            <v>35000</v>
          </cell>
          <cell r="G180">
            <v>175000</v>
          </cell>
        </row>
        <row r="181">
          <cell r="C181">
            <v>552176</v>
          </cell>
          <cell r="D181" t="str">
            <v>대전삼부</v>
          </cell>
          <cell r="E181">
            <v>140000</v>
          </cell>
          <cell r="F181">
            <v>543300</v>
          </cell>
          <cell r="G181">
            <v>683300</v>
          </cell>
        </row>
        <row r="182">
          <cell r="C182">
            <v>562242</v>
          </cell>
          <cell r="D182" t="str">
            <v>전주중앙</v>
          </cell>
          <cell r="E182">
            <v>140000</v>
          </cell>
          <cell r="G182">
            <v>140000</v>
          </cell>
        </row>
        <row r="183">
          <cell r="C183">
            <v>562191</v>
          </cell>
          <cell r="D183" t="str">
            <v>순 천 점</v>
          </cell>
          <cell r="E183">
            <v>140000</v>
          </cell>
          <cell r="G183">
            <v>140000</v>
          </cell>
        </row>
        <row r="184">
          <cell r="C184">
            <v>552150</v>
          </cell>
          <cell r="D184" t="str">
            <v>제 천 점</v>
          </cell>
          <cell r="E184">
            <v>140000</v>
          </cell>
          <cell r="F184">
            <v>8000</v>
          </cell>
          <cell r="G184">
            <v>148000</v>
          </cell>
        </row>
        <row r="185">
          <cell r="C185">
            <v>552157</v>
          </cell>
          <cell r="D185" t="str">
            <v>충 주 점</v>
          </cell>
          <cell r="E185">
            <v>140000</v>
          </cell>
          <cell r="G185">
            <v>140000</v>
          </cell>
        </row>
        <row r="186">
          <cell r="C186">
            <v>552418</v>
          </cell>
          <cell r="D186" t="str">
            <v>서산동문</v>
          </cell>
          <cell r="E186">
            <v>140000</v>
          </cell>
          <cell r="F186">
            <v>110000</v>
          </cell>
          <cell r="G186">
            <v>250000</v>
          </cell>
        </row>
        <row r="187">
          <cell r="C187">
            <v>562317</v>
          </cell>
          <cell r="D187" t="str">
            <v>정읍</v>
          </cell>
          <cell r="E187">
            <v>140000</v>
          </cell>
          <cell r="F187">
            <v>69000</v>
          </cell>
          <cell r="G187">
            <v>209000</v>
          </cell>
        </row>
        <row r="188">
          <cell r="C188">
            <v>562448</v>
          </cell>
          <cell r="D188" t="str">
            <v>광주충장로</v>
          </cell>
          <cell r="E188">
            <v>140000</v>
          </cell>
          <cell r="G188">
            <v>140000</v>
          </cell>
        </row>
        <row r="189">
          <cell r="C189">
            <v>552467</v>
          </cell>
          <cell r="D189" t="str">
            <v>대전동양</v>
          </cell>
          <cell r="E189">
            <v>140000</v>
          </cell>
          <cell r="G189">
            <v>140000</v>
          </cell>
        </row>
        <row r="190">
          <cell r="C190">
            <v>552425</v>
          </cell>
          <cell r="D190" t="str">
            <v>천안명동</v>
          </cell>
          <cell r="E190">
            <v>140000</v>
          </cell>
          <cell r="F190">
            <v>338000</v>
          </cell>
          <cell r="G190">
            <v>478000</v>
          </cell>
        </row>
        <row r="191">
          <cell r="C191">
            <v>552325</v>
          </cell>
          <cell r="D191" t="str">
            <v>예산점</v>
          </cell>
          <cell r="E191">
            <v>140000</v>
          </cell>
          <cell r="G191">
            <v>140000</v>
          </cell>
        </row>
        <row r="192">
          <cell r="C192">
            <v>552398</v>
          </cell>
          <cell r="D192" t="str">
            <v>홍성점</v>
          </cell>
          <cell r="E192">
            <v>140000</v>
          </cell>
          <cell r="G192">
            <v>140000</v>
          </cell>
        </row>
        <row r="193">
          <cell r="C193">
            <v>562450</v>
          </cell>
          <cell r="D193" t="str">
            <v>원광대</v>
          </cell>
          <cell r="E193">
            <v>140000</v>
          </cell>
          <cell r="F193">
            <v>70400</v>
          </cell>
          <cell r="G193">
            <v>210400</v>
          </cell>
        </row>
        <row r="194">
          <cell r="C194">
            <v>562438</v>
          </cell>
          <cell r="D194" t="str">
            <v>김제</v>
          </cell>
          <cell r="E194">
            <v>170000</v>
          </cell>
          <cell r="G194">
            <v>170000</v>
          </cell>
        </row>
        <row r="195">
          <cell r="C195">
            <v>562266</v>
          </cell>
          <cell r="D195" t="str">
            <v>군산중앙</v>
          </cell>
          <cell r="E195">
            <v>140000</v>
          </cell>
          <cell r="F195">
            <v>32000</v>
          </cell>
          <cell r="G195">
            <v>172000</v>
          </cell>
        </row>
        <row r="196">
          <cell r="C196">
            <v>562431</v>
          </cell>
          <cell r="D196" t="str">
            <v>군산현대</v>
          </cell>
          <cell r="E196">
            <v>140000</v>
          </cell>
          <cell r="F196">
            <v>16800</v>
          </cell>
          <cell r="G196">
            <v>156800</v>
          </cell>
        </row>
        <row r="197">
          <cell r="C197">
            <v>562163</v>
          </cell>
          <cell r="D197" t="str">
            <v>광주금남로</v>
          </cell>
          <cell r="E197">
            <v>140000</v>
          </cell>
          <cell r="F197">
            <v>15000</v>
          </cell>
          <cell r="G197">
            <v>155000</v>
          </cell>
        </row>
        <row r="198">
          <cell r="C198">
            <v>552320</v>
          </cell>
          <cell r="D198" t="str">
            <v>논산</v>
          </cell>
          <cell r="E198">
            <v>140000</v>
          </cell>
          <cell r="G198">
            <v>140000</v>
          </cell>
        </row>
        <row r="199">
          <cell r="C199">
            <v>552496</v>
          </cell>
          <cell r="D199" t="str">
            <v>충주성서</v>
          </cell>
          <cell r="E199">
            <v>140000</v>
          </cell>
          <cell r="F199">
            <v>16000</v>
          </cell>
          <cell r="G199">
            <v>156000</v>
          </cell>
        </row>
        <row r="200">
          <cell r="C200">
            <v>562441</v>
          </cell>
          <cell r="D200" t="str">
            <v>순천연향</v>
          </cell>
          <cell r="E200">
            <v>140000</v>
          </cell>
          <cell r="F200">
            <v>21800</v>
          </cell>
          <cell r="G200">
            <v>161800</v>
          </cell>
        </row>
        <row r="201">
          <cell r="C201">
            <v>562457</v>
          </cell>
          <cell r="D201" t="str">
            <v>전북대</v>
          </cell>
          <cell r="E201">
            <v>140000</v>
          </cell>
          <cell r="F201">
            <v>191000</v>
          </cell>
          <cell r="G201">
            <v>331000</v>
          </cell>
        </row>
        <row r="202">
          <cell r="C202">
            <v>552409</v>
          </cell>
          <cell r="D202" t="str">
            <v>대전배재</v>
          </cell>
          <cell r="E202">
            <v>140000</v>
          </cell>
          <cell r="G202">
            <v>140000</v>
          </cell>
        </row>
        <row r="203">
          <cell r="C203">
            <v>562413</v>
          </cell>
          <cell r="D203" t="str">
            <v>광주문흥</v>
          </cell>
          <cell r="E203">
            <v>140000</v>
          </cell>
          <cell r="G203">
            <v>140000</v>
          </cell>
        </row>
        <row r="204">
          <cell r="C204">
            <v>552235</v>
          </cell>
          <cell r="D204" t="str">
            <v>대전둔산</v>
          </cell>
          <cell r="E204">
            <v>140000</v>
          </cell>
          <cell r="F204">
            <v>33000</v>
          </cell>
          <cell r="G204">
            <v>173000</v>
          </cell>
        </row>
        <row r="205">
          <cell r="C205">
            <v>562379</v>
          </cell>
          <cell r="D205" t="str">
            <v>광주운암</v>
          </cell>
          <cell r="E205">
            <v>140000</v>
          </cell>
          <cell r="G205">
            <v>140000</v>
          </cell>
        </row>
        <row r="206">
          <cell r="C206">
            <v>562329</v>
          </cell>
          <cell r="D206" t="str">
            <v>남원</v>
          </cell>
          <cell r="E206">
            <v>170000</v>
          </cell>
          <cell r="F206">
            <v>15000</v>
          </cell>
          <cell r="G206">
            <v>185000</v>
          </cell>
        </row>
        <row r="207">
          <cell r="C207">
            <v>552014</v>
          </cell>
          <cell r="D207" t="str">
            <v>대전중앙</v>
          </cell>
          <cell r="E207">
            <v>140000</v>
          </cell>
          <cell r="F207">
            <v>15000</v>
          </cell>
          <cell r="G207">
            <v>155000</v>
          </cell>
        </row>
        <row r="208">
          <cell r="C208">
            <v>552424</v>
          </cell>
          <cell r="D208" t="str">
            <v>대전법동</v>
          </cell>
          <cell r="E208">
            <v>140000</v>
          </cell>
          <cell r="F208">
            <v>25400</v>
          </cell>
          <cell r="G208">
            <v>165400</v>
          </cell>
        </row>
        <row r="209">
          <cell r="C209">
            <v>552270</v>
          </cell>
          <cell r="D209" t="str">
            <v>청주남문</v>
          </cell>
          <cell r="E209">
            <v>140000</v>
          </cell>
          <cell r="F209">
            <v>5800</v>
          </cell>
          <cell r="G209">
            <v>145800</v>
          </cell>
        </row>
        <row r="210">
          <cell r="C210">
            <v>552367</v>
          </cell>
          <cell r="D210" t="str">
            <v>당진</v>
          </cell>
          <cell r="E210">
            <v>140000</v>
          </cell>
          <cell r="F210">
            <v>191000</v>
          </cell>
          <cell r="G210">
            <v>331000</v>
          </cell>
        </row>
        <row r="211">
          <cell r="C211">
            <v>552026</v>
          </cell>
          <cell r="D211" t="str">
            <v>대전은행</v>
          </cell>
          <cell r="E211">
            <v>140000</v>
          </cell>
          <cell r="F211">
            <v>4000</v>
          </cell>
          <cell r="G211">
            <v>144000</v>
          </cell>
        </row>
        <row r="212">
          <cell r="C212">
            <v>552411</v>
          </cell>
          <cell r="D212" t="str">
            <v>대전중리</v>
          </cell>
          <cell r="E212">
            <v>140000</v>
          </cell>
          <cell r="G212">
            <v>140000</v>
          </cell>
        </row>
        <row r="213">
          <cell r="C213">
            <v>552292</v>
          </cell>
          <cell r="D213" t="str">
            <v>대전엑스포</v>
          </cell>
          <cell r="E213">
            <v>140000</v>
          </cell>
          <cell r="G213">
            <v>140000</v>
          </cell>
        </row>
        <row r="214">
          <cell r="C214">
            <v>562388</v>
          </cell>
          <cell r="D214" t="str">
            <v>광주터미날</v>
          </cell>
          <cell r="E214">
            <v>140000</v>
          </cell>
          <cell r="F214">
            <v>159000</v>
          </cell>
          <cell r="G214">
            <v>299000</v>
          </cell>
        </row>
        <row r="215">
          <cell r="C215">
            <v>552216</v>
          </cell>
          <cell r="D215" t="str">
            <v>청주북문</v>
          </cell>
          <cell r="E215">
            <v>140000</v>
          </cell>
          <cell r="G215">
            <v>140000</v>
          </cell>
        </row>
        <row r="216">
          <cell r="C216">
            <v>552372</v>
          </cell>
          <cell r="D216" t="str">
            <v>대전중동</v>
          </cell>
          <cell r="E216">
            <v>140000</v>
          </cell>
          <cell r="F216">
            <v>16000</v>
          </cell>
          <cell r="G216">
            <v>156000</v>
          </cell>
        </row>
        <row r="217">
          <cell r="C217">
            <v>552305</v>
          </cell>
          <cell r="D217" t="str">
            <v>대전궁동</v>
          </cell>
          <cell r="E217">
            <v>140000</v>
          </cell>
          <cell r="F217">
            <v>46000</v>
          </cell>
          <cell r="G217">
            <v>186000</v>
          </cell>
        </row>
        <row r="218">
          <cell r="C218">
            <v>552502</v>
          </cell>
          <cell r="D218" t="str">
            <v>대전삼천</v>
          </cell>
          <cell r="E218">
            <v>140000</v>
          </cell>
          <cell r="G218">
            <v>140000</v>
          </cell>
        </row>
        <row r="219">
          <cell r="C219">
            <v>552494</v>
          </cell>
          <cell r="D219" t="str">
            <v>대전세이</v>
          </cell>
          <cell r="E219">
            <v>140000</v>
          </cell>
          <cell r="F219">
            <v>119600</v>
          </cell>
          <cell r="G219">
            <v>259600</v>
          </cell>
        </row>
        <row r="220">
          <cell r="C220">
            <v>552278</v>
          </cell>
          <cell r="D220" t="str">
            <v>대전중구</v>
          </cell>
          <cell r="E220">
            <v>140000</v>
          </cell>
          <cell r="G220">
            <v>140000</v>
          </cell>
        </row>
        <row r="221">
          <cell r="C221">
            <v>552250</v>
          </cell>
          <cell r="D221" t="str">
            <v>조치원</v>
          </cell>
          <cell r="G221">
            <v>0</v>
          </cell>
          <cell r="H221" t="str">
            <v>개보수공사</v>
          </cell>
        </row>
        <row r="222">
          <cell r="C222">
            <v>562274</v>
          </cell>
          <cell r="D222" t="str">
            <v>여수중앙</v>
          </cell>
          <cell r="E222">
            <v>140000</v>
          </cell>
          <cell r="F222">
            <v>34000</v>
          </cell>
          <cell r="G222">
            <v>174000</v>
          </cell>
        </row>
        <row r="223">
          <cell r="C223">
            <v>562246</v>
          </cell>
          <cell r="D223" t="str">
            <v>광주동구</v>
          </cell>
          <cell r="E223">
            <v>140000</v>
          </cell>
          <cell r="G223">
            <v>140000</v>
          </cell>
        </row>
        <row r="224">
          <cell r="C224">
            <v>552505</v>
          </cell>
          <cell r="D224" t="str">
            <v>증평점</v>
          </cell>
          <cell r="E224">
            <v>140000</v>
          </cell>
          <cell r="G224">
            <v>140000</v>
          </cell>
          <cell r="H224" t="str">
            <v>M/T(신규)가입</v>
          </cell>
        </row>
        <row r="225">
          <cell r="C225">
            <v>572218</v>
          </cell>
          <cell r="D225" t="str">
            <v>경 산 점</v>
          </cell>
          <cell r="E225">
            <v>140000</v>
          </cell>
          <cell r="G225">
            <v>140000</v>
          </cell>
        </row>
        <row r="226">
          <cell r="C226">
            <v>572178</v>
          </cell>
          <cell r="D226" t="str">
            <v>경 주 점</v>
          </cell>
          <cell r="E226">
            <v>140000</v>
          </cell>
          <cell r="G226">
            <v>140000</v>
          </cell>
        </row>
        <row r="227">
          <cell r="C227">
            <v>572167</v>
          </cell>
          <cell r="D227" t="str">
            <v>구 미 점</v>
          </cell>
          <cell r="E227">
            <v>170000</v>
          </cell>
          <cell r="G227">
            <v>170000</v>
          </cell>
        </row>
        <row r="228">
          <cell r="C228">
            <v>572415</v>
          </cell>
          <cell r="D228" t="str">
            <v>구미2번가</v>
          </cell>
          <cell r="E228">
            <v>140000</v>
          </cell>
          <cell r="G228">
            <v>140000</v>
          </cell>
        </row>
        <row r="229">
          <cell r="C229">
            <v>572403</v>
          </cell>
          <cell r="D229" t="str">
            <v>구미인동</v>
          </cell>
          <cell r="E229">
            <v>140000</v>
          </cell>
          <cell r="G229">
            <v>140000</v>
          </cell>
        </row>
        <row r="230">
          <cell r="C230">
            <v>572234</v>
          </cell>
          <cell r="D230" t="str">
            <v>김 천 점</v>
          </cell>
          <cell r="E230">
            <v>140000</v>
          </cell>
          <cell r="F230">
            <v>47000</v>
          </cell>
          <cell r="G230">
            <v>187000</v>
          </cell>
        </row>
        <row r="231">
          <cell r="C231">
            <v>572300</v>
          </cell>
          <cell r="D231" t="str">
            <v>대구서부</v>
          </cell>
          <cell r="E231">
            <v>140000</v>
          </cell>
          <cell r="F231">
            <v>21000</v>
          </cell>
          <cell r="G231">
            <v>161000</v>
          </cell>
        </row>
        <row r="232">
          <cell r="C232">
            <v>572341</v>
          </cell>
          <cell r="D232" t="str">
            <v>대구중구</v>
          </cell>
          <cell r="E232">
            <v>140000</v>
          </cell>
          <cell r="F232">
            <v>36000</v>
          </cell>
          <cell r="G232">
            <v>176000</v>
          </cell>
        </row>
        <row r="233">
          <cell r="C233">
            <v>572336</v>
          </cell>
          <cell r="D233" t="str">
            <v>대구지산</v>
          </cell>
          <cell r="E233">
            <v>140000</v>
          </cell>
          <cell r="F233">
            <v>76000</v>
          </cell>
          <cell r="G233">
            <v>216000</v>
          </cell>
        </row>
        <row r="234">
          <cell r="C234">
            <v>572251</v>
          </cell>
          <cell r="D234" t="str">
            <v>대명시장</v>
          </cell>
          <cell r="E234">
            <v>140000</v>
          </cell>
          <cell r="G234">
            <v>140000</v>
          </cell>
        </row>
        <row r="235">
          <cell r="C235">
            <v>572436</v>
          </cell>
          <cell r="D235" t="str">
            <v>왜관</v>
          </cell>
          <cell r="E235">
            <v>140000</v>
          </cell>
          <cell r="F235">
            <v>16000</v>
          </cell>
          <cell r="G235">
            <v>156000</v>
          </cell>
        </row>
        <row r="236">
          <cell r="C236">
            <v>572295</v>
          </cell>
          <cell r="D236" t="str">
            <v>상주</v>
          </cell>
          <cell r="E236">
            <v>140000</v>
          </cell>
          <cell r="F236">
            <v>5800</v>
          </cell>
          <cell r="G236">
            <v>145800</v>
          </cell>
        </row>
        <row r="237">
          <cell r="C237">
            <v>572280</v>
          </cell>
          <cell r="D237" t="str">
            <v>동양터미날</v>
          </cell>
          <cell r="E237">
            <v>140000</v>
          </cell>
          <cell r="G237">
            <v>140000</v>
          </cell>
        </row>
        <row r="238">
          <cell r="C238">
            <v>572323</v>
          </cell>
          <cell r="D238" t="str">
            <v>대구봉덕</v>
          </cell>
          <cell r="E238">
            <v>140000</v>
          </cell>
          <cell r="F238">
            <v>32000</v>
          </cell>
          <cell r="G238">
            <v>172000</v>
          </cell>
        </row>
        <row r="239">
          <cell r="C239">
            <v>572241</v>
          </cell>
          <cell r="D239" t="str">
            <v>대구상인</v>
          </cell>
          <cell r="G239">
            <v>0</v>
          </cell>
          <cell r="H239" t="str">
            <v>개보수공사</v>
          </cell>
        </row>
        <row r="240">
          <cell r="C240">
            <v>572408</v>
          </cell>
          <cell r="D240" t="str">
            <v>대구남일</v>
          </cell>
          <cell r="E240">
            <v>140000</v>
          </cell>
          <cell r="G240">
            <v>140000</v>
          </cell>
        </row>
        <row r="241">
          <cell r="C241">
            <v>572276</v>
          </cell>
          <cell r="D241" t="str">
            <v>대구봉산</v>
          </cell>
          <cell r="G241">
            <v>0</v>
          </cell>
          <cell r="H241" t="str">
            <v>개보수공사</v>
          </cell>
        </row>
        <row r="242">
          <cell r="C242">
            <v>572397</v>
          </cell>
          <cell r="D242" t="str">
            <v>대구아세아</v>
          </cell>
          <cell r="E242">
            <v>140000</v>
          </cell>
          <cell r="F242">
            <v>12000</v>
          </cell>
          <cell r="G242">
            <v>152000</v>
          </cell>
        </row>
        <row r="243">
          <cell r="C243">
            <v>572333</v>
          </cell>
          <cell r="D243" t="str">
            <v>대구효목</v>
          </cell>
          <cell r="E243">
            <v>140000</v>
          </cell>
          <cell r="F243">
            <v>101000</v>
          </cell>
          <cell r="G243">
            <v>241000</v>
          </cell>
        </row>
        <row r="244">
          <cell r="C244">
            <v>572364</v>
          </cell>
          <cell r="D244" t="str">
            <v>거창</v>
          </cell>
          <cell r="E244">
            <v>140000</v>
          </cell>
          <cell r="F244">
            <v>32000</v>
          </cell>
          <cell r="G244">
            <v>172000</v>
          </cell>
        </row>
        <row r="245">
          <cell r="C245">
            <v>572291</v>
          </cell>
          <cell r="D245" t="str">
            <v>대구만촌</v>
          </cell>
          <cell r="E245">
            <v>140000</v>
          </cell>
          <cell r="F245">
            <v>70000</v>
          </cell>
          <cell r="G245">
            <v>210000</v>
          </cell>
        </row>
        <row r="246">
          <cell r="C246">
            <v>572360</v>
          </cell>
          <cell r="D246" t="str">
            <v>대구성서</v>
          </cell>
          <cell r="G246">
            <v>0</v>
          </cell>
          <cell r="H246" t="str">
            <v>개보수공사</v>
          </cell>
        </row>
        <row r="247">
          <cell r="C247">
            <v>572271</v>
          </cell>
          <cell r="D247" t="str">
            <v>대구칠곡</v>
          </cell>
          <cell r="G247">
            <v>0</v>
          </cell>
          <cell r="H247" t="str">
            <v>개보수공사</v>
          </cell>
        </row>
        <row r="248">
          <cell r="C248">
            <v>572269</v>
          </cell>
          <cell r="D248" t="str">
            <v>대구신암</v>
          </cell>
          <cell r="E248">
            <v>140000</v>
          </cell>
          <cell r="F248">
            <v>28000</v>
          </cell>
          <cell r="G248">
            <v>168000</v>
          </cell>
        </row>
        <row r="249">
          <cell r="C249">
            <v>572499</v>
          </cell>
          <cell r="D249" t="str">
            <v>점촌점</v>
          </cell>
          <cell r="E249">
            <v>140000</v>
          </cell>
          <cell r="F249">
            <v>6000</v>
          </cell>
          <cell r="G249">
            <v>146000</v>
          </cell>
        </row>
        <row r="250">
          <cell r="C250">
            <v>572410</v>
          </cell>
          <cell r="D250" t="str">
            <v>하양점</v>
          </cell>
          <cell r="E250">
            <v>140000</v>
          </cell>
          <cell r="G250">
            <v>140000</v>
          </cell>
        </row>
        <row r="251">
          <cell r="C251">
            <v>572417</v>
          </cell>
          <cell r="D251" t="str">
            <v>대구대곡</v>
          </cell>
          <cell r="E251">
            <v>140000</v>
          </cell>
          <cell r="G251">
            <v>140000</v>
          </cell>
        </row>
        <row r="252">
          <cell r="C252">
            <v>572435</v>
          </cell>
          <cell r="D252" t="str">
            <v>대구동구</v>
          </cell>
          <cell r="E252">
            <v>140000</v>
          </cell>
          <cell r="F252">
            <v>181000</v>
          </cell>
          <cell r="G252">
            <v>321000</v>
          </cell>
        </row>
        <row r="253">
          <cell r="C253">
            <v>572384</v>
          </cell>
          <cell r="D253" t="str">
            <v>대구삼성</v>
          </cell>
          <cell r="E253">
            <v>140000</v>
          </cell>
          <cell r="F253">
            <v>165000</v>
          </cell>
          <cell r="G253">
            <v>305000</v>
          </cell>
        </row>
        <row r="254">
          <cell r="C254">
            <v>572144</v>
          </cell>
          <cell r="D254" t="str">
            <v>대구동산</v>
          </cell>
          <cell r="E254">
            <v>140000</v>
          </cell>
          <cell r="F254">
            <v>15000</v>
          </cell>
          <cell r="G254">
            <v>155000</v>
          </cell>
        </row>
        <row r="255">
          <cell r="C255">
            <v>572254</v>
          </cell>
          <cell r="D255" t="str">
            <v>대구동성로</v>
          </cell>
          <cell r="E255">
            <v>140000</v>
          </cell>
          <cell r="F255">
            <v>209000</v>
          </cell>
          <cell r="G255">
            <v>349000</v>
          </cell>
        </row>
        <row r="256">
          <cell r="C256">
            <v>572344</v>
          </cell>
          <cell r="D256" t="str">
            <v>대구복현</v>
          </cell>
          <cell r="E256">
            <v>140000</v>
          </cell>
          <cell r="G256">
            <v>140000</v>
          </cell>
        </row>
        <row r="257">
          <cell r="C257">
            <v>572477</v>
          </cell>
          <cell r="D257" t="str">
            <v>대구팔달</v>
          </cell>
          <cell r="E257">
            <v>140000</v>
          </cell>
          <cell r="G257">
            <v>140000</v>
          </cell>
        </row>
        <row r="258">
          <cell r="C258">
            <v>572161</v>
          </cell>
          <cell r="D258" t="str">
            <v>안동점</v>
          </cell>
          <cell r="E258">
            <v>140000</v>
          </cell>
          <cell r="F258">
            <v>56000</v>
          </cell>
          <cell r="G258">
            <v>196000</v>
          </cell>
        </row>
        <row r="259">
          <cell r="C259">
            <v>572414</v>
          </cell>
          <cell r="D259" t="str">
            <v>동대구역</v>
          </cell>
          <cell r="E259">
            <v>140000</v>
          </cell>
          <cell r="F259">
            <v>12000</v>
          </cell>
          <cell r="G259">
            <v>152000</v>
          </cell>
        </row>
        <row r="260">
          <cell r="C260">
            <v>572376</v>
          </cell>
          <cell r="D260" t="str">
            <v>구미형곡</v>
          </cell>
          <cell r="E260">
            <v>140000</v>
          </cell>
          <cell r="F260">
            <v>52000</v>
          </cell>
          <cell r="G260">
            <v>192000</v>
          </cell>
          <cell r="H260" t="str">
            <v>M/T(신규)가입</v>
          </cell>
        </row>
        <row r="261">
          <cell r="C261">
            <v>522236</v>
          </cell>
          <cell r="D261" t="str">
            <v>괴 정 점</v>
          </cell>
          <cell r="E261">
            <v>140000</v>
          </cell>
          <cell r="G261">
            <v>140000</v>
          </cell>
        </row>
        <row r="262">
          <cell r="C262">
            <v>572474</v>
          </cell>
          <cell r="D262" t="str">
            <v>김해내외</v>
          </cell>
          <cell r="E262">
            <v>140000</v>
          </cell>
          <cell r="F262">
            <v>16000</v>
          </cell>
          <cell r="G262">
            <v>156000</v>
          </cell>
        </row>
        <row r="263">
          <cell r="C263">
            <v>572233</v>
          </cell>
          <cell r="D263" t="str">
            <v>마산창동</v>
          </cell>
          <cell r="E263">
            <v>140000</v>
          </cell>
          <cell r="G263">
            <v>140000</v>
          </cell>
        </row>
        <row r="264">
          <cell r="C264">
            <v>572166</v>
          </cell>
          <cell r="D264" t="str">
            <v>마산합성</v>
          </cell>
          <cell r="E264">
            <v>140000</v>
          </cell>
          <cell r="F264">
            <v>30000</v>
          </cell>
          <cell r="G264">
            <v>170000</v>
          </cell>
        </row>
        <row r="265">
          <cell r="C265">
            <v>572390</v>
          </cell>
          <cell r="D265" t="str">
            <v>밀 양 점</v>
          </cell>
          <cell r="E265">
            <v>170000</v>
          </cell>
          <cell r="G265">
            <v>170000</v>
          </cell>
        </row>
        <row r="266">
          <cell r="C266">
            <v>522112</v>
          </cell>
          <cell r="D266" t="str">
            <v>부산광안</v>
          </cell>
          <cell r="G266">
            <v>0</v>
          </cell>
          <cell r="H266" t="str">
            <v>개보수공사</v>
          </cell>
        </row>
        <row r="267">
          <cell r="C267">
            <v>522135</v>
          </cell>
          <cell r="D267" t="str">
            <v>부산부전</v>
          </cell>
          <cell r="E267">
            <v>140000</v>
          </cell>
          <cell r="G267">
            <v>140000</v>
          </cell>
        </row>
        <row r="268">
          <cell r="C268">
            <v>522155</v>
          </cell>
          <cell r="D268" t="str">
            <v>부산역전</v>
          </cell>
          <cell r="E268">
            <v>140000</v>
          </cell>
          <cell r="F268">
            <v>6900</v>
          </cell>
          <cell r="G268">
            <v>146900</v>
          </cell>
        </row>
        <row r="269">
          <cell r="C269">
            <v>522154</v>
          </cell>
          <cell r="D269" t="str">
            <v>서면시장</v>
          </cell>
          <cell r="E269">
            <v>170000</v>
          </cell>
          <cell r="F269">
            <v>13000</v>
          </cell>
          <cell r="G269">
            <v>183000</v>
          </cell>
        </row>
        <row r="270">
          <cell r="C270">
            <v>572268</v>
          </cell>
          <cell r="D270" t="str">
            <v>울산신정</v>
          </cell>
          <cell r="E270">
            <v>170000</v>
          </cell>
          <cell r="G270">
            <v>170000</v>
          </cell>
        </row>
        <row r="271">
          <cell r="C271">
            <v>572158</v>
          </cell>
          <cell r="D271" t="str">
            <v>진 해 점</v>
          </cell>
          <cell r="E271">
            <v>170000</v>
          </cell>
          <cell r="F271">
            <v>105700</v>
          </cell>
          <cell r="G271">
            <v>275700</v>
          </cell>
        </row>
        <row r="272">
          <cell r="C272">
            <v>572326</v>
          </cell>
          <cell r="D272" t="str">
            <v>창원성원</v>
          </cell>
          <cell r="E272">
            <v>140000</v>
          </cell>
          <cell r="F272">
            <v>17000</v>
          </cell>
          <cell r="G272">
            <v>157000</v>
          </cell>
        </row>
        <row r="273">
          <cell r="C273">
            <v>572214</v>
          </cell>
          <cell r="D273" t="str">
            <v>창원중앙</v>
          </cell>
          <cell r="E273">
            <v>140000</v>
          </cell>
          <cell r="G273">
            <v>140000</v>
          </cell>
        </row>
        <row r="274">
          <cell r="C274">
            <v>582119</v>
          </cell>
          <cell r="D274" t="str">
            <v>제 주 점</v>
          </cell>
          <cell r="E274">
            <v>140000</v>
          </cell>
          <cell r="G274">
            <v>140000</v>
          </cell>
        </row>
        <row r="275">
          <cell r="C275">
            <v>582340</v>
          </cell>
          <cell r="D275" t="str">
            <v>신제주</v>
          </cell>
          <cell r="E275">
            <v>140000</v>
          </cell>
          <cell r="F275">
            <v>15000</v>
          </cell>
          <cell r="G275">
            <v>155000</v>
          </cell>
        </row>
        <row r="276">
          <cell r="C276">
            <v>582223</v>
          </cell>
          <cell r="D276" t="str">
            <v>서귀포점</v>
          </cell>
          <cell r="G276">
            <v>0</v>
          </cell>
          <cell r="H276" t="str">
            <v>개보수공사</v>
          </cell>
        </row>
        <row r="277">
          <cell r="C277">
            <v>572453</v>
          </cell>
          <cell r="D277" t="str">
            <v>김해어방</v>
          </cell>
          <cell r="E277">
            <v>140000</v>
          </cell>
          <cell r="G277">
            <v>140000</v>
          </cell>
        </row>
        <row r="278">
          <cell r="C278">
            <v>522294</v>
          </cell>
          <cell r="D278" t="str">
            <v>부산사상</v>
          </cell>
          <cell r="E278">
            <v>140000</v>
          </cell>
          <cell r="F278">
            <v>13000</v>
          </cell>
          <cell r="G278">
            <v>153000</v>
          </cell>
        </row>
        <row r="279">
          <cell r="C279">
            <v>572198</v>
          </cell>
          <cell r="D279" t="str">
            <v>울산옥교</v>
          </cell>
          <cell r="E279">
            <v>170000</v>
          </cell>
          <cell r="F279">
            <v>15000</v>
          </cell>
          <cell r="G279">
            <v>185000</v>
          </cell>
        </row>
        <row r="280">
          <cell r="C280">
            <v>572258</v>
          </cell>
          <cell r="D280" t="str">
            <v>삼천포</v>
          </cell>
          <cell r="E280">
            <v>170000</v>
          </cell>
          <cell r="F280">
            <v>141000</v>
          </cell>
          <cell r="G280">
            <v>311000</v>
          </cell>
        </row>
        <row r="281">
          <cell r="C281">
            <v>572370</v>
          </cell>
          <cell r="D281" t="str">
            <v>울산중앙</v>
          </cell>
          <cell r="E281">
            <v>140000</v>
          </cell>
          <cell r="F281">
            <v>6000</v>
          </cell>
          <cell r="G281">
            <v>146000</v>
          </cell>
        </row>
        <row r="282">
          <cell r="C282">
            <v>572362</v>
          </cell>
          <cell r="D282" t="str">
            <v>울산공업탑</v>
          </cell>
          <cell r="E282">
            <v>170000</v>
          </cell>
          <cell r="F282">
            <v>589300</v>
          </cell>
          <cell r="G282">
            <v>759300</v>
          </cell>
        </row>
        <row r="283">
          <cell r="C283">
            <v>522482</v>
          </cell>
          <cell r="D283" t="str">
            <v>신모라</v>
          </cell>
          <cell r="E283">
            <v>140000</v>
          </cell>
          <cell r="G283">
            <v>140000</v>
          </cell>
        </row>
        <row r="284">
          <cell r="C284">
            <v>582443</v>
          </cell>
          <cell r="D284" t="str">
            <v>제주광양</v>
          </cell>
          <cell r="G284">
            <v>0</v>
          </cell>
          <cell r="H284" t="str">
            <v>개보수공사</v>
          </cell>
        </row>
        <row r="285">
          <cell r="C285">
            <v>572472</v>
          </cell>
          <cell r="D285" t="str">
            <v>마산대우</v>
          </cell>
          <cell r="E285">
            <v>140000</v>
          </cell>
          <cell r="G285">
            <v>140000</v>
          </cell>
        </row>
        <row r="286">
          <cell r="C286">
            <v>522392</v>
          </cell>
          <cell r="D286" t="str">
            <v>다대포</v>
          </cell>
          <cell r="E286">
            <v>140000</v>
          </cell>
          <cell r="G286">
            <v>140000</v>
          </cell>
        </row>
        <row r="287">
          <cell r="C287">
            <v>522277</v>
          </cell>
          <cell r="D287" t="str">
            <v>부산당감</v>
          </cell>
          <cell r="E287">
            <v>140000</v>
          </cell>
          <cell r="G287">
            <v>140000</v>
          </cell>
        </row>
        <row r="288">
          <cell r="C288">
            <v>522313</v>
          </cell>
          <cell r="D288" t="str">
            <v>부산서동</v>
          </cell>
          <cell r="E288">
            <v>140000</v>
          </cell>
          <cell r="F288">
            <v>50000</v>
          </cell>
          <cell r="G288">
            <v>190000</v>
          </cell>
        </row>
        <row r="289">
          <cell r="C289">
            <v>522318</v>
          </cell>
          <cell r="D289" t="str">
            <v>경성대</v>
          </cell>
          <cell r="E289">
            <v>170000</v>
          </cell>
          <cell r="G289">
            <v>170000</v>
          </cell>
        </row>
        <row r="290">
          <cell r="C290">
            <v>522195</v>
          </cell>
          <cell r="D290" t="str">
            <v>부산범일</v>
          </cell>
          <cell r="E290">
            <v>140000</v>
          </cell>
          <cell r="G290">
            <v>140000</v>
          </cell>
        </row>
        <row r="291">
          <cell r="C291">
            <v>572416</v>
          </cell>
          <cell r="D291" t="str">
            <v>창원용호</v>
          </cell>
          <cell r="E291">
            <v>140000</v>
          </cell>
          <cell r="F291">
            <v>52000</v>
          </cell>
          <cell r="G291">
            <v>192000</v>
          </cell>
        </row>
        <row r="292">
          <cell r="C292">
            <v>572454</v>
          </cell>
          <cell r="D292" t="str">
            <v>북마산</v>
          </cell>
          <cell r="E292">
            <v>140000</v>
          </cell>
          <cell r="F292">
            <v>48000</v>
          </cell>
          <cell r="G292">
            <v>188000</v>
          </cell>
        </row>
        <row r="293">
          <cell r="C293">
            <v>572352</v>
          </cell>
          <cell r="D293" t="str">
            <v>언양점</v>
          </cell>
          <cell r="E293">
            <v>140000</v>
          </cell>
          <cell r="F293">
            <v>15000</v>
          </cell>
          <cell r="G293">
            <v>155000</v>
          </cell>
        </row>
        <row r="294">
          <cell r="C294">
            <v>572391</v>
          </cell>
          <cell r="D294" t="str">
            <v>울산세원마트</v>
          </cell>
          <cell r="E294">
            <v>140000</v>
          </cell>
          <cell r="G294">
            <v>140000</v>
          </cell>
        </row>
        <row r="295">
          <cell r="C295">
            <v>572365</v>
          </cell>
          <cell r="D295" t="str">
            <v>통영점</v>
          </cell>
          <cell r="E295">
            <v>140000</v>
          </cell>
          <cell r="F295">
            <v>66000</v>
          </cell>
          <cell r="G295">
            <v>206000</v>
          </cell>
        </row>
        <row r="296">
          <cell r="C296">
            <v>572361</v>
          </cell>
          <cell r="D296" t="str">
            <v>창원명곡</v>
          </cell>
          <cell r="E296">
            <v>140000</v>
          </cell>
          <cell r="F296">
            <v>13000</v>
          </cell>
          <cell r="G296">
            <v>153000</v>
          </cell>
        </row>
        <row r="297">
          <cell r="C297">
            <v>572308</v>
          </cell>
          <cell r="D297" t="str">
            <v>남마산</v>
          </cell>
          <cell r="E297">
            <v>140000</v>
          </cell>
          <cell r="F297">
            <v>143000</v>
          </cell>
          <cell r="G297">
            <v>283000</v>
          </cell>
        </row>
        <row r="298">
          <cell r="C298">
            <v>522456</v>
          </cell>
          <cell r="D298" t="str">
            <v>남포중앙</v>
          </cell>
          <cell r="E298">
            <v>140000</v>
          </cell>
          <cell r="G298">
            <v>140000</v>
          </cell>
        </row>
        <row r="299">
          <cell r="C299">
            <v>522187</v>
          </cell>
          <cell r="D299" t="str">
            <v>광복문고</v>
          </cell>
          <cell r="E299">
            <v>140000</v>
          </cell>
          <cell r="F299">
            <v>4000</v>
          </cell>
          <cell r="G299">
            <v>144000</v>
          </cell>
        </row>
        <row r="300">
          <cell r="C300">
            <v>522247</v>
          </cell>
          <cell r="D300" t="str">
            <v>부산역사</v>
          </cell>
          <cell r="E300">
            <v>140000</v>
          </cell>
          <cell r="G300">
            <v>140000</v>
          </cell>
        </row>
        <row r="301">
          <cell r="C301">
            <v>522419</v>
          </cell>
          <cell r="D301" t="str">
            <v>수영로타리</v>
          </cell>
          <cell r="E301">
            <v>170000</v>
          </cell>
          <cell r="F301">
            <v>85700</v>
          </cell>
          <cell r="G301">
            <v>255700</v>
          </cell>
        </row>
        <row r="302">
          <cell r="C302">
            <v>522213</v>
          </cell>
          <cell r="D302" t="str">
            <v>해운대리베라</v>
          </cell>
          <cell r="E302">
            <v>140000</v>
          </cell>
          <cell r="G302">
            <v>140000</v>
          </cell>
        </row>
        <row r="303">
          <cell r="C303">
            <v>522444</v>
          </cell>
          <cell r="D303" t="str">
            <v>해운대좌동</v>
          </cell>
          <cell r="E303">
            <v>140000</v>
          </cell>
          <cell r="F303">
            <v>1000</v>
          </cell>
          <cell r="G303">
            <v>141000</v>
          </cell>
        </row>
        <row r="304">
          <cell r="C304">
            <v>522310</v>
          </cell>
          <cell r="D304" t="str">
            <v>해운대중앙</v>
          </cell>
          <cell r="E304">
            <v>140000</v>
          </cell>
          <cell r="F304">
            <v>6000</v>
          </cell>
          <cell r="G304">
            <v>146000</v>
          </cell>
        </row>
        <row r="305">
          <cell r="C305">
            <v>572140</v>
          </cell>
          <cell r="D305" t="str">
            <v>진주동성</v>
          </cell>
          <cell r="E305">
            <v>140000</v>
          </cell>
          <cell r="G305">
            <v>140000</v>
          </cell>
        </row>
        <row r="306">
          <cell r="C306">
            <v>572347</v>
          </cell>
          <cell r="D306" t="str">
            <v>진주동</v>
          </cell>
          <cell r="E306">
            <v>170000</v>
          </cell>
          <cell r="G306">
            <v>170000</v>
          </cell>
        </row>
        <row r="307">
          <cell r="C307">
            <v>522194</v>
          </cell>
          <cell r="D307" t="str">
            <v>부산대청</v>
          </cell>
          <cell r="E307">
            <v>170000</v>
          </cell>
          <cell r="G307">
            <v>170000</v>
          </cell>
        </row>
        <row r="308">
          <cell r="C308">
            <v>522354</v>
          </cell>
          <cell r="D308" t="str">
            <v>부산덕천</v>
          </cell>
          <cell r="E308">
            <v>170000</v>
          </cell>
          <cell r="F308">
            <v>16000</v>
          </cell>
          <cell r="G308">
            <v>186000</v>
          </cell>
        </row>
        <row r="309">
          <cell r="C309">
            <v>572401</v>
          </cell>
          <cell r="D309" t="str">
            <v>거제고현</v>
          </cell>
          <cell r="E309">
            <v>140000</v>
          </cell>
          <cell r="F309">
            <v>55000</v>
          </cell>
          <cell r="G309">
            <v>195000</v>
          </cell>
        </row>
        <row r="310">
          <cell r="C310">
            <v>522169</v>
          </cell>
          <cell r="D310" t="str">
            <v>부산양정</v>
          </cell>
          <cell r="E310">
            <v>170000</v>
          </cell>
          <cell r="F310">
            <v>30000</v>
          </cell>
          <cell r="G310">
            <v>200000</v>
          </cell>
        </row>
        <row r="311">
          <cell r="C311">
            <v>522221</v>
          </cell>
          <cell r="D311" t="str">
            <v>부산명장</v>
          </cell>
          <cell r="E311">
            <v>170000</v>
          </cell>
          <cell r="G311">
            <v>170000</v>
          </cell>
        </row>
        <row r="312">
          <cell r="C312">
            <v>522290</v>
          </cell>
          <cell r="D312" t="str">
            <v>부산용호</v>
          </cell>
          <cell r="E312">
            <v>170000</v>
          </cell>
          <cell r="F312">
            <v>25000</v>
          </cell>
          <cell r="G312">
            <v>195000</v>
          </cell>
        </row>
        <row r="313">
          <cell r="C313">
            <v>522497</v>
          </cell>
          <cell r="D313" t="str">
            <v>부산구포</v>
          </cell>
          <cell r="E313">
            <v>170000</v>
          </cell>
          <cell r="G313">
            <v>170000</v>
          </cell>
        </row>
        <row r="314">
          <cell r="C314">
            <v>522175</v>
          </cell>
          <cell r="D314" t="str">
            <v>양산통도</v>
          </cell>
          <cell r="E314">
            <v>170000</v>
          </cell>
          <cell r="F314">
            <v>2000</v>
          </cell>
          <cell r="G314">
            <v>172000</v>
          </cell>
        </row>
        <row r="315">
          <cell r="C315">
            <v>572488</v>
          </cell>
          <cell r="D315" t="str">
            <v>울산전하</v>
          </cell>
          <cell r="E315">
            <v>140000</v>
          </cell>
          <cell r="F315">
            <v>4000</v>
          </cell>
          <cell r="G315">
            <v>144000</v>
          </cell>
        </row>
        <row r="316">
          <cell r="C316">
            <v>572302</v>
          </cell>
          <cell r="D316" t="str">
            <v>김해부원</v>
          </cell>
          <cell r="E316">
            <v>170000</v>
          </cell>
          <cell r="F316">
            <v>712300</v>
          </cell>
          <cell r="G316">
            <v>882300</v>
          </cell>
          <cell r="H316" t="str">
            <v>M/T(신규)가입</v>
          </cell>
        </row>
        <row r="317">
          <cell r="C317">
            <v>522455</v>
          </cell>
          <cell r="D317" t="str">
            <v>부산장림</v>
          </cell>
          <cell r="E317">
            <v>140000</v>
          </cell>
          <cell r="F317">
            <v>6000</v>
          </cell>
          <cell r="G317">
            <v>146000</v>
          </cell>
          <cell r="H317" t="str">
            <v>M/T(신규)가입</v>
          </cell>
        </row>
        <row r="318">
          <cell r="C318">
            <v>572382</v>
          </cell>
          <cell r="D318" t="str">
            <v>울산남목</v>
          </cell>
          <cell r="E318">
            <v>140000</v>
          </cell>
          <cell r="F318">
            <v>70000</v>
          </cell>
          <cell r="G318">
            <v>210000</v>
          </cell>
          <cell r="H318" t="str">
            <v>M/T(신규)가입</v>
          </cell>
        </row>
        <row r="319">
          <cell r="C319">
            <v>572174</v>
          </cell>
          <cell r="D319" t="str">
            <v>김해점</v>
          </cell>
          <cell r="E319">
            <v>170000</v>
          </cell>
          <cell r="G319">
            <v>170000</v>
          </cell>
          <cell r="H319" t="str">
            <v>M/T(신규)가입</v>
          </cell>
        </row>
        <row r="320">
          <cell r="C320">
            <v>522493</v>
          </cell>
          <cell r="D320" t="str">
            <v>부산부곡</v>
          </cell>
          <cell r="E320">
            <v>170000</v>
          </cell>
          <cell r="G320">
            <v>170000</v>
          </cell>
          <cell r="H320" t="str">
            <v>M/T(신규)가입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포항점"/>
      <sheetName val="울산고속"/>
      <sheetName val="견적서"/>
      <sheetName val="포항점 (롯데폼)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포항점"/>
      <sheetName val="울산고속"/>
      <sheetName val="견적서"/>
      <sheetName val="포항점 (롯데폼)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산출근거 (2)"/>
      <sheetName val="COST"/>
      <sheetName val="노임"/>
      <sheetName val="본부조서"/>
      <sheetName val="건설갑지"/>
      <sheetName val="광세자재청구서"/>
      <sheetName val="2회기성청구서"/>
      <sheetName val="광세기성고내역"/>
      <sheetName val="견적서갑지"/>
      <sheetName val="견적서을지"/>
      <sheetName val="사진"/>
    </sheetNames>
    <sheetDataSet>
      <sheetData sheetId="0" refreshError="1"/>
      <sheetData sheetId="1"/>
      <sheetData sheetId="2" refreshError="1">
        <row r="5">
          <cell r="A5" t="str">
            <v>이형철근D-10 SD30A</v>
          </cell>
          <cell r="B5" t="str">
            <v>이형철근</v>
          </cell>
          <cell r="C5" t="str">
            <v>D-10 SD30A</v>
          </cell>
          <cell r="D5" t="str">
            <v>TON</v>
          </cell>
          <cell r="E5">
            <v>43</v>
          </cell>
          <cell r="F5">
            <v>360000</v>
          </cell>
          <cell r="G5">
            <v>42</v>
          </cell>
          <cell r="H5">
            <v>375000</v>
          </cell>
          <cell r="N5">
            <v>360000</v>
          </cell>
          <cell r="O5">
            <v>306000</v>
          </cell>
        </row>
        <row r="6">
          <cell r="A6" t="str">
            <v>이형철근D-13 SD30A</v>
          </cell>
          <cell r="B6" t="str">
            <v>이형철근</v>
          </cell>
          <cell r="C6" t="str">
            <v>D-13 SD30A</v>
          </cell>
          <cell r="D6" t="str">
            <v>TON</v>
          </cell>
          <cell r="E6">
            <v>43</v>
          </cell>
          <cell r="F6">
            <v>360000</v>
          </cell>
          <cell r="G6">
            <v>42</v>
          </cell>
          <cell r="H6">
            <v>375000</v>
          </cell>
          <cell r="N6">
            <v>360000</v>
          </cell>
          <cell r="O6">
            <v>306000</v>
          </cell>
        </row>
        <row r="7">
          <cell r="A7" t="str">
            <v>ㄱ형강45x45x5T</v>
          </cell>
          <cell r="B7" t="str">
            <v>ㄱ형강</v>
          </cell>
          <cell r="C7" t="str">
            <v>45x45x5T</v>
          </cell>
          <cell r="D7" t="str">
            <v>㎏</v>
          </cell>
          <cell r="E7">
            <v>44</v>
          </cell>
          <cell r="F7">
            <v>365</v>
          </cell>
          <cell r="G7">
            <v>45</v>
          </cell>
          <cell r="H7">
            <v>378</v>
          </cell>
          <cell r="N7">
            <v>365</v>
          </cell>
          <cell r="O7">
            <v>310</v>
          </cell>
        </row>
        <row r="8">
          <cell r="A8" t="str">
            <v>ㄱ형강100x75</v>
          </cell>
          <cell r="B8" t="str">
            <v>ㄱ형강</v>
          </cell>
          <cell r="C8" t="str">
            <v>100x75</v>
          </cell>
          <cell r="D8" t="str">
            <v>㎏</v>
          </cell>
          <cell r="E8">
            <v>44</v>
          </cell>
          <cell r="F8">
            <v>370</v>
          </cell>
          <cell r="G8">
            <v>45</v>
          </cell>
          <cell r="H8">
            <v>462</v>
          </cell>
          <cell r="N8">
            <v>370</v>
          </cell>
          <cell r="O8">
            <v>314</v>
          </cell>
        </row>
        <row r="9">
          <cell r="A9" t="str">
            <v>C형찬넬60x30x10x2.3t</v>
          </cell>
          <cell r="B9" t="str">
            <v>C형찬넬</v>
          </cell>
          <cell r="C9" t="str">
            <v>60x30x10x2.3t</v>
          </cell>
          <cell r="D9" t="str">
            <v>㎏</v>
          </cell>
          <cell r="E9">
            <v>46</v>
          </cell>
          <cell r="F9">
            <v>520</v>
          </cell>
          <cell r="G9">
            <v>49</v>
          </cell>
          <cell r="H9">
            <v>430</v>
          </cell>
          <cell r="N9">
            <v>430</v>
          </cell>
          <cell r="O9">
            <v>365</v>
          </cell>
        </row>
        <row r="10">
          <cell r="A10" t="str">
            <v>열연강판6t</v>
          </cell>
          <cell r="B10" t="str">
            <v>열연강판</v>
          </cell>
          <cell r="C10" t="str">
            <v>6t</v>
          </cell>
          <cell r="D10" t="str">
            <v>㎏</v>
          </cell>
          <cell r="E10">
            <v>54</v>
          </cell>
          <cell r="F10">
            <v>497</v>
          </cell>
          <cell r="G10">
            <v>50</v>
          </cell>
          <cell r="H10">
            <v>375</v>
          </cell>
          <cell r="N10">
            <v>375</v>
          </cell>
          <cell r="O10">
            <v>318</v>
          </cell>
        </row>
        <row r="11">
          <cell r="A11" t="str">
            <v>열연강판400×400×12t</v>
          </cell>
          <cell r="B11" t="str">
            <v>열연강판</v>
          </cell>
          <cell r="C11" t="str">
            <v>400×400×12t</v>
          </cell>
          <cell r="D11" t="str">
            <v>㎏</v>
          </cell>
          <cell r="E11">
            <v>54</v>
          </cell>
          <cell r="F11">
            <v>468</v>
          </cell>
          <cell r="G11">
            <v>50</v>
          </cell>
          <cell r="H11">
            <v>410</v>
          </cell>
          <cell r="N11">
            <v>410</v>
          </cell>
          <cell r="O11">
            <v>348</v>
          </cell>
        </row>
        <row r="12">
          <cell r="A12" t="str">
            <v>용접봉Φ3.2</v>
          </cell>
          <cell r="B12" t="str">
            <v>용접봉</v>
          </cell>
          <cell r="C12" t="str">
            <v>Φ3.2</v>
          </cell>
          <cell r="D12" t="str">
            <v>㎏</v>
          </cell>
          <cell r="E12">
            <v>1063</v>
          </cell>
          <cell r="F12">
            <v>1220</v>
          </cell>
          <cell r="G12">
            <v>750</v>
          </cell>
          <cell r="H12">
            <v>1350</v>
          </cell>
          <cell r="N12">
            <v>1220</v>
          </cell>
          <cell r="O12">
            <v>1037</v>
          </cell>
        </row>
        <row r="13">
          <cell r="A13" t="str">
            <v>소철선#8</v>
          </cell>
          <cell r="B13" t="str">
            <v>소철선</v>
          </cell>
          <cell r="C13" t="str">
            <v>#8</v>
          </cell>
          <cell r="D13" t="str">
            <v>㎏</v>
          </cell>
          <cell r="E13">
            <v>67</v>
          </cell>
          <cell r="F13">
            <v>518</v>
          </cell>
          <cell r="G13">
            <v>70</v>
          </cell>
          <cell r="H13">
            <v>560</v>
          </cell>
          <cell r="N13">
            <v>518</v>
          </cell>
          <cell r="O13">
            <v>440</v>
          </cell>
        </row>
        <row r="14">
          <cell r="A14" t="str">
            <v>결속선#20</v>
          </cell>
          <cell r="B14" t="str">
            <v>결속선</v>
          </cell>
          <cell r="C14" t="str">
            <v>#20</v>
          </cell>
          <cell r="D14" t="str">
            <v>㎏</v>
          </cell>
          <cell r="E14">
            <v>67</v>
          </cell>
          <cell r="F14">
            <v>682</v>
          </cell>
          <cell r="G14">
            <v>70</v>
          </cell>
          <cell r="H14">
            <v>780</v>
          </cell>
          <cell r="N14">
            <v>682</v>
          </cell>
          <cell r="O14">
            <v>579</v>
          </cell>
        </row>
        <row r="15">
          <cell r="A15" t="str">
            <v>철못50mm</v>
          </cell>
          <cell r="B15" t="str">
            <v>철못</v>
          </cell>
          <cell r="C15" t="str">
            <v>50mm</v>
          </cell>
          <cell r="D15" t="str">
            <v>㎏</v>
          </cell>
          <cell r="E15">
            <v>70</v>
          </cell>
          <cell r="F15">
            <v>672</v>
          </cell>
          <cell r="G15">
            <v>70</v>
          </cell>
          <cell r="H15">
            <v>684</v>
          </cell>
          <cell r="N15">
            <v>672</v>
          </cell>
          <cell r="O15">
            <v>571</v>
          </cell>
        </row>
        <row r="16">
          <cell r="A16" t="str">
            <v>볼트.너트M16xL150</v>
          </cell>
          <cell r="B16" t="str">
            <v>볼트.너트</v>
          </cell>
          <cell r="C16" t="str">
            <v>M16xL150</v>
          </cell>
          <cell r="D16" t="str">
            <v>개</v>
          </cell>
          <cell r="E16">
            <v>94</v>
          </cell>
          <cell r="F16">
            <v>366</v>
          </cell>
          <cell r="G16">
            <v>76</v>
          </cell>
          <cell r="H16">
            <v>1135</v>
          </cell>
          <cell r="N16">
            <v>366</v>
          </cell>
          <cell r="O16">
            <v>311</v>
          </cell>
        </row>
        <row r="17">
          <cell r="A17" t="str">
            <v>U볼트Φ65㎜</v>
          </cell>
          <cell r="B17" t="str">
            <v>U볼트</v>
          </cell>
          <cell r="C17" t="str">
            <v>Φ65㎜</v>
          </cell>
          <cell r="D17" t="str">
            <v>개</v>
          </cell>
          <cell r="E17">
            <v>94</v>
          </cell>
          <cell r="G17">
            <v>78</v>
          </cell>
          <cell r="H17">
            <v>700</v>
          </cell>
          <cell r="N17">
            <v>700</v>
          </cell>
          <cell r="O17">
            <v>595</v>
          </cell>
        </row>
        <row r="18">
          <cell r="A18" t="str">
            <v>U볼트3/8"x8"</v>
          </cell>
          <cell r="B18" t="str">
            <v>U볼트</v>
          </cell>
          <cell r="C18" t="str">
            <v>3/8"x8"</v>
          </cell>
          <cell r="D18" t="str">
            <v>개</v>
          </cell>
          <cell r="E18">
            <v>94</v>
          </cell>
          <cell r="F18">
            <v>241</v>
          </cell>
          <cell r="G18">
            <v>78</v>
          </cell>
          <cell r="H18">
            <v>275</v>
          </cell>
          <cell r="N18">
            <v>241</v>
          </cell>
          <cell r="O18">
            <v>204</v>
          </cell>
        </row>
        <row r="19">
          <cell r="A19" t="str">
            <v>너트Φ65㎜</v>
          </cell>
          <cell r="B19" t="str">
            <v>너트</v>
          </cell>
          <cell r="C19" t="str">
            <v>Φ65㎜</v>
          </cell>
          <cell r="D19" t="str">
            <v>개</v>
          </cell>
          <cell r="E19">
            <v>98</v>
          </cell>
          <cell r="F19">
            <v>17.600000000000001</v>
          </cell>
          <cell r="G19">
            <v>79</v>
          </cell>
          <cell r="H19">
            <v>10</v>
          </cell>
          <cell r="N19">
            <v>10</v>
          </cell>
          <cell r="O19">
            <v>8</v>
          </cell>
        </row>
        <row r="20">
          <cell r="A20" t="str">
            <v>너트3/8"</v>
          </cell>
          <cell r="B20" t="str">
            <v>너트</v>
          </cell>
          <cell r="C20" t="str">
            <v>3/8"</v>
          </cell>
          <cell r="D20" t="str">
            <v>개</v>
          </cell>
          <cell r="E20">
            <v>98</v>
          </cell>
          <cell r="F20">
            <v>7.59</v>
          </cell>
          <cell r="G20">
            <v>79</v>
          </cell>
          <cell r="H20">
            <v>10.3</v>
          </cell>
          <cell r="N20">
            <v>7.59</v>
          </cell>
          <cell r="O20">
            <v>6</v>
          </cell>
        </row>
        <row r="21">
          <cell r="A21" t="str">
            <v>너트M16</v>
          </cell>
          <cell r="B21" t="str">
            <v>너트</v>
          </cell>
          <cell r="C21" t="str">
            <v>M16</v>
          </cell>
          <cell r="D21" t="str">
            <v>개</v>
          </cell>
          <cell r="E21">
            <v>98</v>
          </cell>
          <cell r="F21">
            <v>33</v>
          </cell>
          <cell r="G21">
            <v>79</v>
          </cell>
          <cell r="H21">
            <v>42</v>
          </cell>
          <cell r="N21">
            <v>33</v>
          </cell>
          <cell r="O21">
            <v>28</v>
          </cell>
        </row>
        <row r="22">
          <cell r="A22" t="str">
            <v>평와샤M16</v>
          </cell>
          <cell r="B22" t="str">
            <v>평와샤</v>
          </cell>
          <cell r="C22" t="str">
            <v>M16</v>
          </cell>
          <cell r="D22" t="str">
            <v>개</v>
          </cell>
          <cell r="E22">
            <v>99</v>
          </cell>
          <cell r="F22">
            <v>9.9</v>
          </cell>
          <cell r="G22">
            <v>80</v>
          </cell>
          <cell r="H22">
            <v>27</v>
          </cell>
          <cell r="N22">
            <v>9.9</v>
          </cell>
          <cell r="O22">
            <v>8</v>
          </cell>
        </row>
        <row r="23">
          <cell r="A23" t="str">
            <v>앙카볼트(3/8")M10xL150</v>
          </cell>
          <cell r="B23" t="str">
            <v>앙카볼트</v>
          </cell>
          <cell r="C23" t="str">
            <v>(3/8")M10xL150</v>
          </cell>
          <cell r="D23" t="str">
            <v>개</v>
          </cell>
          <cell r="E23">
            <v>96</v>
          </cell>
          <cell r="F23">
            <v>59</v>
          </cell>
          <cell r="G23">
            <v>76</v>
          </cell>
          <cell r="H23">
            <v>95</v>
          </cell>
          <cell r="N23">
            <v>59</v>
          </cell>
          <cell r="O23">
            <v>50</v>
          </cell>
        </row>
        <row r="24">
          <cell r="A24" t="str">
            <v>앙카볼트(5/8")M16xL250</v>
          </cell>
          <cell r="B24" t="str">
            <v>앙카볼트</v>
          </cell>
          <cell r="C24" t="str">
            <v>(5/8")M16xL250</v>
          </cell>
          <cell r="D24" t="str">
            <v>개</v>
          </cell>
          <cell r="E24">
            <v>97</v>
          </cell>
          <cell r="F24">
            <v>180</v>
          </cell>
          <cell r="G24">
            <v>77</v>
          </cell>
          <cell r="H24">
            <v>300</v>
          </cell>
          <cell r="N24">
            <v>180</v>
          </cell>
          <cell r="O24">
            <v>153</v>
          </cell>
        </row>
        <row r="25">
          <cell r="A25" t="str">
            <v>앙카볼트(7/8")M22xL250</v>
          </cell>
          <cell r="B25" t="str">
            <v>앙카볼트</v>
          </cell>
          <cell r="C25" t="str">
            <v>(7/8")M22xL250</v>
          </cell>
          <cell r="D25" t="str">
            <v>개</v>
          </cell>
          <cell r="E25">
            <v>97</v>
          </cell>
          <cell r="F25">
            <v>2850</v>
          </cell>
          <cell r="G25">
            <v>76</v>
          </cell>
          <cell r="H25">
            <v>570</v>
          </cell>
          <cell r="N25">
            <v>570</v>
          </cell>
          <cell r="O25">
            <v>484</v>
          </cell>
        </row>
        <row r="26">
          <cell r="A26" t="str">
            <v>달대볼트M12x1000</v>
          </cell>
          <cell r="B26" t="str">
            <v>달대볼트</v>
          </cell>
          <cell r="C26" t="str">
            <v>M12x1000</v>
          </cell>
          <cell r="D26" t="str">
            <v>개</v>
          </cell>
          <cell r="E26">
            <v>93</v>
          </cell>
          <cell r="F26">
            <v>410</v>
          </cell>
          <cell r="G26">
            <v>78</v>
          </cell>
          <cell r="H26">
            <v>654</v>
          </cell>
          <cell r="N26">
            <v>410</v>
          </cell>
          <cell r="O26">
            <v>348</v>
          </cell>
        </row>
        <row r="27">
          <cell r="A27" t="str">
            <v>셋트앙카3/8"x75</v>
          </cell>
          <cell r="B27" t="str">
            <v>셋트앙카</v>
          </cell>
          <cell r="C27" t="str">
            <v>3/8"x75</v>
          </cell>
          <cell r="D27" t="str">
            <v>개</v>
          </cell>
          <cell r="E27">
            <v>97</v>
          </cell>
          <cell r="G27">
            <v>77</v>
          </cell>
          <cell r="H27">
            <v>280</v>
          </cell>
          <cell r="N27">
            <v>280</v>
          </cell>
          <cell r="O27">
            <v>238</v>
          </cell>
        </row>
        <row r="28">
          <cell r="A28" t="str">
            <v>각재3.6×3.6×3.6(외송)</v>
          </cell>
          <cell r="B28" t="str">
            <v>각재</v>
          </cell>
          <cell r="C28" t="str">
            <v>3.6×3.6×3.6(외송)</v>
          </cell>
          <cell r="D28" t="str">
            <v>재</v>
          </cell>
          <cell r="E28">
            <v>139</v>
          </cell>
          <cell r="F28">
            <v>1200</v>
          </cell>
          <cell r="G28">
            <v>106</v>
          </cell>
          <cell r="H28">
            <v>1100</v>
          </cell>
          <cell r="N28">
            <v>1100</v>
          </cell>
          <cell r="O28" t="str">
            <v xml:space="preserve"> </v>
          </cell>
        </row>
        <row r="29">
          <cell r="A29" t="str">
            <v>각재외송</v>
          </cell>
          <cell r="B29" t="str">
            <v>각재</v>
          </cell>
          <cell r="C29" t="str">
            <v>외송</v>
          </cell>
          <cell r="D29" t="str">
            <v>㎥</v>
          </cell>
          <cell r="E29">
            <v>139</v>
          </cell>
          <cell r="F29">
            <v>269461</v>
          </cell>
          <cell r="G29">
            <v>106</v>
          </cell>
          <cell r="H29">
            <v>224550</v>
          </cell>
          <cell r="N29">
            <v>224550</v>
          </cell>
          <cell r="O29">
            <v>190867</v>
          </cell>
        </row>
        <row r="30">
          <cell r="A30" t="str">
            <v>보통합판12x1210x2420</v>
          </cell>
          <cell r="B30" t="str">
            <v>보통합판</v>
          </cell>
          <cell r="C30" t="str">
            <v>12x1210x2420</v>
          </cell>
          <cell r="D30" t="str">
            <v>매</v>
          </cell>
          <cell r="E30">
            <v>449</v>
          </cell>
          <cell r="F30">
            <v>17000</v>
          </cell>
          <cell r="G30">
            <v>353</v>
          </cell>
          <cell r="H30">
            <v>17800</v>
          </cell>
          <cell r="N30">
            <v>17000</v>
          </cell>
          <cell r="O30" t="str">
            <v xml:space="preserve"> </v>
          </cell>
        </row>
        <row r="31">
          <cell r="A31" t="str">
            <v>아세틸렌98%</v>
          </cell>
          <cell r="B31" t="str">
            <v>아세틸렌</v>
          </cell>
          <cell r="C31" t="str">
            <v>98%</v>
          </cell>
          <cell r="D31" t="str">
            <v>㎏</v>
          </cell>
          <cell r="E31">
            <v>1143</v>
          </cell>
          <cell r="F31">
            <v>6000</v>
          </cell>
          <cell r="G31">
            <v>1026</v>
          </cell>
          <cell r="H31">
            <v>8000</v>
          </cell>
          <cell r="N31">
            <v>6000</v>
          </cell>
          <cell r="O31" t="str">
            <v xml:space="preserve"> </v>
          </cell>
        </row>
        <row r="32">
          <cell r="A32" t="str">
            <v>산소99%</v>
          </cell>
          <cell r="B32" t="str">
            <v>산소</v>
          </cell>
          <cell r="C32" t="str">
            <v>99%</v>
          </cell>
          <cell r="D32" t="str">
            <v>ℓ</v>
          </cell>
          <cell r="E32">
            <v>1143</v>
          </cell>
          <cell r="F32">
            <v>137</v>
          </cell>
          <cell r="G32">
            <v>1026</v>
          </cell>
          <cell r="H32">
            <v>225</v>
          </cell>
          <cell r="N32">
            <v>137</v>
          </cell>
          <cell r="O32" t="str">
            <v xml:space="preserve"> </v>
          </cell>
        </row>
        <row r="33">
          <cell r="A33" t="str">
            <v>박리제유성</v>
          </cell>
          <cell r="B33" t="str">
            <v>박리제</v>
          </cell>
          <cell r="C33" t="str">
            <v>유성</v>
          </cell>
          <cell r="D33" t="str">
            <v>ℓ</v>
          </cell>
          <cell r="E33">
            <v>147</v>
          </cell>
          <cell r="F33">
            <v>1250</v>
          </cell>
          <cell r="G33">
            <v>111</v>
          </cell>
          <cell r="H33">
            <v>1250</v>
          </cell>
          <cell r="N33">
            <v>1250</v>
          </cell>
          <cell r="O33">
            <v>1062</v>
          </cell>
        </row>
        <row r="34">
          <cell r="A34" t="str">
            <v>조합페인트황색</v>
          </cell>
          <cell r="B34" t="str">
            <v>조합페인트</v>
          </cell>
          <cell r="C34" t="str">
            <v>황색</v>
          </cell>
          <cell r="D34" t="str">
            <v>ℓ</v>
          </cell>
          <cell r="E34">
            <v>400</v>
          </cell>
          <cell r="F34">
            <v>3525</v>
          </cell>
          <cell r="G34">
            <v>276</v>
          </cell>
          <cell r="H34">
            <v>4382</v>
          </cell>
          <cell r="N34">
            <v>3525</v>
          </cell>
          <cell r="O34">
            <v>2996</v>
          </cell>
        </row>
        <row r="35">
          <cell r="A35" t="str">
            <v>모래세사</v>
          </cell>
          <cell r="B35" t="str">
            <v>모래</v>
          </cell>
          <cell r="C35" t="str">
            <v>세사</v>
          </cell>
          <cell r="D35" t="str">
            <v>㎥</v>
          </cell>
          <cell r="E35">
            <v>111</v>
          </cell>
          <cell r="F35">
            <v>12500</v>
          </cell>
          <cell r="G35">
            <v>95</v>
          </cell>
          <cell r="H35">
            <v>10000</v>
          </cell>
          <cell r="N35">
            <v>10000</v>
          </cell>
          <cell r="O35">
            <v>8500</v>
          </cell>
        </row>
        <row r="36">
          <cell r="A36" t="str">
            <v>자갈#57</v>
          </cell>
          <cell r="B36" t="str">
            <v>자갈</v>
          </cell>
          <cell r="C36" t="str">
            <v>#57</v>
          </cell>
          <cell r="D36" t="str">
            <v>㎥</v>
          </cell>
          <cell r="E36">
            <v>111</v>
          </cell>
          <cell r="F36">
            <v>13500</v>
          </cell>
          <cell r="G36">
            <v>95</v>
          </cell>
          <cell r="H36">
            <v>6000</v>
          </cell>
          <cell r="N36">
            <v>6000</v>
          </cell>
          <cell r="O36">
            <v>5100</v>
          </cell>
        </row>
        <row r="37">
          <cell r="A37" t="str">
            <v>자갈#467(40mm)</v>
          </cell>
          <cell r="B37" t="str">
            <v>자갈</v>
          </cell>
          <cell r="C37" t="str">
            <v>#467(40mm)</v>
          </cell>
          <cell r="D37" t="str">
            <v>㎥</v>
          </cell>
          <cell r="E37">
            <v>111</v>
          </cell>
          <cell r="F37">
            <v>13500</v>
          </cell>
          <cell r="G37">
            <v>95</v>
          </cell>
          <cell r="H37">
            <v>6000</v>
          </cell>
          <cell r="N37">
            <v>6000</v>
          </cell>
          <cell r="O37">
            <v>5100</v>
          </cell>
        </row>
        <row r="38">
          <cell r="A38" t="str">
            <v>시멘트40㎏</v>
          </cell>
          <cell r="B38" t="str">
            <v>시멘트</v>
          </cell>
          <cell r="C38" t="str">
            <v>40㎏</v>
          </cell>
          <cell r="D38" t="str">
            <v>포</v>
          </cell>
          <cell r="E38">
            <v>113</v>
          </cell>
          <cell r="F38">
            <v>2750</v>
          </cell>
          <cell r="G38">
            <v>97</v>
          </cell>
          <cell r="H38">
            <v>2700</v>
          </cell>
          <cell r="N38">
            <v>2700</v>
          </cell>
          <cell r="O38">
            <v>2295</v>
          </cell>
        </row>
        <row r="39">
          <cell r="A39" t="str">
            <v>통신용멘홀수공철개</v>
          </cell>
          <cell r="B39" t="str">
            <v>통신용멘홀</v>
          </cell>
          <cell r="C39" t="str">
            <v>수공철개</v>
          </cell>
          <cell r="D39" t="str">
            <v>조</v>
          </cell>
          <cell r="E39">
            <v>172</v>
          </cell>
          <cell r="F39">
            <v>261000</v>
          </cell>
          <cell r="G39">
            <v>160</v>
          </cell>
          <cell r="H39">
            <v>330000</v>
          </cell>
          <cell r="N39">
            <v>261000</v>
          </cell>
          <cell r="O39">
            <v>221850</v>
          </cell>
        </row>
        <row r="40">
          <cell r="A40" t="str">
            <v>백관Φ50</v>
          </cell>
          <cell r="B40" t="str">
            <v>백관</v>
          </cell>
          <cell r="C40" t="str">
            <v>Φ50</v>
          </cell>
          <cell r="D40" t="str">
            <v>m</v>
          </cell>
          <cell r="E40">
            <v>475</v>
          </cell>
          <cell r="F40">
            <v>3555</v>
          </cell>
          <cell r="G40">
            <v>426</v>
          </cell>
          <cell r="H40">
            <v>3538</v>
          </cell>
          <cell r="N40">
            <v>3538</v>
          </cell>
          <cell r="O40">
            <v>3007</v>
          </cell>
        </row>
        <row r="41">
          <cell r="A41" t="str">
            <v>광명단0</v>
          </cell>
          <cell r="B41" t="str">
            <v>광명단</v>
          </cell>
          <cell r="C41">
            <v>0</v>
          </cell>
          <cell r="D41" t="str">
            <v>ℓ</v>
          </cell>
          <cell r="E41">
            <v>399</v>
          </cell>
          <cell r="F41">
            <v>3205</v>
          </cell>
          <cell r="G41">
            <v>278</v>
          </cell>
          <cell r="H41">
            <v>3700</v>
          </cell>
          <cell r="N41">
            <v>3205</v>
          </cell>
          <cell r="O41">
            <v>2724</v>
          </cell>
        </row>
        <row r="42">
          <cell r="A42" t="str">
            <v>전원케이블CV 2Cx22㎟</v>
          </cell>
          <cell r="B42" t="str">
            <v>전원케이블</v>
          </cell>
          <cell r="C42" t="str">
            <v>CV 2Cx22㎟</v>
          </cell>
          <cell r="D42" t="str">
            <v>m</v>
          </cell>
          <cell r="E42">
            <v>798</v>
          </cell>
          <cell r="F42">
            <v>2520</v>
          </cell>
          <cell r="G42">
            <v>851</v>
          </cell>
          <cell r="H42">
            <v>2400</v>
          </cell>
          <cell r="N42">
            <v>2400</v>
          </cell>
          <cell r="O42">
            <v>2040</v>
          </cell>
        </row>
        <row r="43">
          <cell r="A43" t="str">
            <v>접지용전선GV 22㎟</v>
          </cell>
          <cell r="B43" t="str">
            <v>접지용전선</v>
          </cell>
          <cell r="C43" t="str">
            <v>GV 22㎟</v>
          </cell>
          <cell r="D43" t="str">
            <v>m</v>
          </cell>
          <cell r="E43">
            <v>795</v>
          </cell>
          <cell r="F43">
            <v>1348</v>
          </cell>
          <cell r="G43">
            <v>844</v>
          </cell>
          <cell r="H43">
            <v>1455</v>
          </cell>
          <cell r="N43">
            <v>1348</v>
          </cell>
          <cell r="O43">
            <v>1145</v>
          </cell>
        </row>
        <row r="44">
          <cell r="A44" t="str">
            <v>접지용전선GV 38㎟</v>
          </cell>
          <cell r="B44" t="str">
            <v>접지용전선</v>
          </cell>
          <cell r="C44" t="str">
            <v>GV 38㎟</v>
          </cell>
          <cell r="D44" t="str">
            <v>m</v>
          </cell>
          <cell r="E44">
            <v>795</v>
          </cell>
          <cell r="F44">
            <v>2032</v>
          </cell>
          <cell r="G44">
            <v>844</v>
          </cell>
          <cell r="H44">
            <v>2192</v>
          </cell>
          <cell r="N44">
            <v>2032</v>
          </cell>
          <cell r="O44">
            <v>1727</v>
          </cell>
        </row>
        <row r="45">
          <cell r="A45" t="str">
            <v>시내쌍케이블CPEV 0.9x15P</v>
          </cell>
          <cell r="B45" t="str">
            <v>시내쌍케이블</v>
          </cell>
          <cell r="C45" t="str">
            <v>CPEV 0.9x15P</v>
          </cell>
          <cell r="D45" t="str">
            <v>m</v>
          </cell>
          <cell r="E45">
            <v>810</v>
          </cell>
          <cell r="F45">
            <v>1701</v>
          </cell>
          <cell r="G45">
            <v>853</v>
          </cell>
          <cell r="H45">
            <v>1830</v>
          </cell>
          <cell r="N45">
            <v>1701</v>
          </cell>
          <cell r="O45">
            <v>1445</v>
          </cell>
        </row>
        <row r="46">
          <cell r="A46" t="str">
            <v>시내쌍케이블CPEV 0.65x100P</v>
          </cell>
          <cell r="B46" t="str">
            <v>시내쌍케이블</v>
          </cell>
          <cell r="C46" t="str">
            <v>CPEV 0.65x100P</v>
          </cell>
          <cell r="D46" t="str">
            <v>m</v>
          </cell>
          <cell r="E46">
            <v>810</v>
          </cell>
          <cell r="F46">
            <v>4238</v>
          </cell>
          <cell r="G46">
            <v>853</v>
          </cell>
          <cell r="H46">
            <v>4561</v>
          </cell>
          <cell r="N46">
            <v>4238</v>
          </cell>
          <cell r="O46">
            <v>3602</v>
          </cell>
        </row>
        <row r="47">
          <cell r="A47" t="str">
            <v>급전용 동축케이블RG-8U</v>
          </cell>
          <cell r="B47" t="str">
            <v>급전용 동축케이블</v>
          </cell>
          <cell r="C47" t="str">
            <v>RG-8U</v>
          </cell>
          <cell r="D47" t="str">
            <v>m</v>
          </cell>
          <cell r="G47">
            <v>965</v>
          </cell>
          <cell r="H47">
            <v>5000</v>
          </cell>
          <cell r="N47">
            <v>5000</v>
          </cell>
          <cell r="O47">
            <v>4250</v>
          </cell>
        </row>
        <row r="48">
          <cell r="A48" t="str">
            <v>제어케이블CVV 4C-5.5㎟</v>
          </cell>
          <cell r="B48" t="str">
            <v>제어케이블</v>
          </cell>
          <cell r="C48" t="str">
            <v>CVV 4C-5.5㎟</v>
          </cell>
          <cell r="D48" t="str">
            <v>m</v>
          </cell>
          <cell r="E48">
            <v>797</v>
          </cell>
          <cell r="F48">
            <v>1745</v>
          </cell>
          <cell r="G48">
            <v>845</v>
          </cell>
          <cell r="H48">
            <v>1281</v>
          </cell>
          <cell r="N48">
            <v>1281</v>
          </cell>
          <cell r="O48">
            <v>1088</v>
          </cell>
        </row>
        <row r="49">
          <cell r="A49" t="str">
            <v>후강전선관아연도Φ16mm</v>
          </cell>
          <cell r="B49" t="str">
            <v>후강전선관</v>
          </cell>
          <cell r="C49" t="str">
            <v>아연도Φ16mm</v>
          </cell>
          <cell r="D49" t="str">
            <v>m</v>
          </cell>
          <cell r="E49">
            <v>820</v>
          </cell>
          <cell r="F49">
            <v>971</v>
          </cell>
          <cell r="G49">
            <v>866</v>
          </cell>
          <cell r="H49">
            <v>1022</v>
          </cell>
          <cell r="N49">
            <v>971</v>
          </cell>
          <cell r="O49">
            <v>825</v>
          </cell>
        </row>
        <row r="50">
          <cell r="A50" t="str">
            <v>후강전선관아연도Φ22mm</v>
          </cell>
          <cell r="B50" t="str">
            <v>후강전선관</v>
          </cell>
          <cell r="C50" t="str">
            <v>아연도Φ22mm</v>
          </cell>
          <cell r="D50" t="str">
            <v>m</v>
          </cell>
          <cell r="E50">
            <v>820</v>
          </cell>
          <cell r="F50">
            <v>1247</v>
          </cell>
          <cell r="G50">
            <v>866</v>
          </cell>
          <cell r="H50">
            <v>1309</v>
          </cell>
          <cell r="N50">
            <v>1247</v>
          </cell>
          <cell r="O50">
            <v>1059</v>
          </cell>
        </row>
        <row r="51">
          <cell r="A51" t="str">
            <v>후강전선관아연도Φ28mm</v>
          </cell>
          <cell r="B51" t="str">
            <v>후강전선관</v>
          </cell>
          <cell r="C51" t="str">
            <v>아연도Φ28mm</v>
          </cell>
          <cell r="D51" t="str">
            <v>m</v>
          </cell>
          <cell r="E51">
            <v>820</v>
          </cell>
          <cell r="F51">
            <v>1628</v>
          </cell>
          <cell r="G51">
            <v>866</v>
          </cell>
          <cell r="H51">
            <v>1709</v>
          </cell>
          <cell r="N51">
            <v>1628</v>
          </cell>
          <cell r="O51">
            <v>1383</v>
          </cell>
        </row>
        <row r="52">
          <cell r="A52" t="str">
            <v>후강전선관아연도Φ36mm</v>
          </cell>
          <cell r="B52" t="str">
            <v>후강전선관</v>
          </cell>
          <cell r="C52" t="str">
            <v>아연도Φ36mm</v>
          </cell>
          <cell r="D52" t="str">
            <v>m</v>
          </cell>
          <cell r="E52">
            <v>820</v>
          </cell>
          <cell r="F52">
            <v>1998</v>
          </cell>
          <cell r="G52">
            <v>866</v>
          </cell>
          <cell r="H52">
            <v>2097</v>
          </cell>
          <cell r="N52">
            <v>1998</v>
          </cell>
          <cell r="O52">
            <v>1698</v>
          </cell>
        </row>
        <row r="53">
          <cell r="A53" t="str">
            <v>후강전선관아연도Φ42mm</v>
          </cell>
          <cell r="B53" t="str">
            <v>후강전선관</v>
          </cell>
          <cell r="C53" t="str">
            <v>아연도Φ42mm</v>
          </cell>
          <cell r="D53" t="str">
            <v>m</v>
          </cell>
          <cell r="E53">
            <v>820</v>
          </cell>
          <cell r="F53">
            <v>2317</v>
          </cell>
          <cell r="G53">
            <v>866</v>
          </cell>
          <cell r="H53">
            <v>2431</v>
          </cell>
          <cell r="N53">
            <v>2317</v>
          </cell>
          <cell r="O53">
            <v>1969</v>
          </cell>
        </row>
        <row r="54">
          <cell r="A54" t="str">
            <v>후강전선관아연도Φ54mm</v>
          </cell>
          <cell r="B54" t="str">
            <v>후강전선관</v>
          </cell>
          <cell r="C54" t="str">
            <v>아연도Φ54mm</v>
          </cell>
          <cell r="D54" t="str">
            <v>m</v>
          </cell>
          <cell r="E54">
            <v>820</v>
          </cell>
          <cell r="F54">
            <v>3230</v>
          </cell>
          <cell r="G54">
            <v>866</v>
          </cell>
          <cell r="H54">
            <v>3390</v>
          </cell>
          <cell r="N54">
            <v>3230</v>
          </cell>
          <cell r="O54">
            <v>2745</v>
          </cell>
        </row>
        <row r="55">
          <cell r="A55" t="str">
            <v>후강전선관아연도Φ70mm</v>
          </cell>
          <cell r="B55" t="str">
            <v>후강전선관</v>
          </cell>
          <cell r="C55" t="str">
            <v>아연도Φ70mm</v>
          </cell>
          <cell r="D55" t="str">
            <v>m</v>
          </cell>
          <cell r="E55">
            <v>820</v>
          </cell>
          <cell r="F55">
            <v>4106</v>
          </cell>
          <cell r="G55">
            <v>866</v>
          </cell>
          <cell r="H55">
            <v>4313</v>
          </cell>
          <cell r="N55">
            <v>4106</v>
          </cell>
          <cell r="O55">
            <v>3490</v>
          </cell>
        </row>
        <row r="56">
          <cell r="A56" t="str">
            <v>후렉시블전선관16C</v>
          </cell>
          <cell r="B56" t="str">
            <v>후렉시블전선관</v>
          </cell>
          <cell r="C56" t="str">
            <v>16C</v>
          </cell>
          <cell r="D56" t="str">
            <v>m</v>
          </cell>
          <cell r="E56">
            <v>823</v>
          </cell>
          <cell r="F56">
            <v>1700</v>
          </cell>
          <cell r="G56">
            <v>869</v>
          </cell>
          <cell r="H56">
            <v>2000</v>
          </cell>
          <cell r="N56">
            <v>1700</v>
          </cell>
          <cell r="O56">
            <v>1445</v>
          </cell>
        </row>
        <row r="57">
          <cell r="A57" t="str">
            <v>후렉시블전선관22C</v>
          </cell>
          <cell r="B57" t="str">
            <v>후렉시블전선관</v>
          </cell>
          <cell r="C57" t="str">
            <v>22C</v>
          </cell>
          <cell r="D57" t="str">
            <v>m</v>
          </cell>
          <cell r="E57">
            <v>823</v>
          </cell>
          <cell r="F57">
            <v>2240</v>
          </cell>
          <cell r="G57">
            <v>869</v>
          </cell>
          <cell r="H57">
            <v>2640</v>
          </cell>
          <cell r="N57">
            <v>2240</v>
          </cell>
          <cell r="O57">
            <v>1904</v>
          </cell>
        </row>
        <row r="58">
          <cell r="A58" t="str">
            <v>후렉시블전선관36C</v>
          </cell>
          <cell r="B58" t="str">
            <v>후렉시블전선관</v>
          </cell>
          <cell r="C58" t="str">
            <v>36C</v>
          </cell>
          <cell r="D58" t="str">
            <v>m</v>
          </cell>
          <cell r="E58">
            <v>823</v>
          </cell>
          <cell r="F58">
            <v>4040</v>
          </cell>
          <cell r="G58">
            <v>869</v>
          </cell>
          <cell r="H58">
            <v>4710</v>
          </cell>
          <cell r="N58">
            <v>4040</v>
          </cell>
          <cell r="O58">
            <v>3434</v>
          </cell>
        </row>
        <row r="59">
          <cell r="A59" t="str">
            <v>경질비닐전선관HI Φ22mm</v>
          </cell>
          <cell r="B59" t="str">
            <v>경질비닐전선관</v>
          </cell>
          <cell r="C59" t="str">
            <v>HI Φ22mm</v>
          </cell>
          <cell r="D59" t="str">
            <v>m</v>
          </cell>
          <cell r="E59">
            <v>823</v>
          </cell>
          <cell r="F59">
            <v>499</v>
          </cell>
          <cell r="G59">
            <v>866</v>
          </cell>
          <cell r="H59">
            <v>357</v>
          </cell>
          <cell r="N59">
            <v>357</v>
          </cell>
          <cell r="O59">
            <v>303</v>
          </cell>
        </row>
        <row r="60">
          <cell r="A60" t="str">
            <v>경질비닐전선관HI Φ28mm</v>
          </cell>
          <cell r="B60" t="str">
            <v>경질비닐전선관</v>
          </cell>
          <cell r="C60" t="str">
            <v>HI Φ28mm</v>
          </cell>
          <cell r="D60" t="str">
            <v>m</v>
          </cell>
          <cell r="E60">
            <v>823</v>
          </cell>
          <cell r="F60">
            <v>842</v>
          </cell>
          <cell r="G60">
            <v>866</v>
          </cell>
          <cell r="H60">
            <v>697</v>
          </cell>
          <cell r="N60">
            <v>697</v>
          </cell>
          <cell r="O60">
            <v>592</v>
          </cell>
        </row>
        <row r="61">
          <cell r="A61" t="str">
            <v>경질비닐전선관HI Φ36mm</v>
          </cell>
          <cell r="B61" t="str">
            <v>경질비닐전선관</v>
          </cell>
          <cell r="C61" t="str">
            <v>HI Φ36mm</v>
          </cell>
          <cell r="D61" t="str">
            <v>m</v>
          </cell>
          <cell r="E61">
            <v>824</v>
          </cell>
          <cell r="F61">
            <v>1075</v>
          </cell>
          <cell r="G61">
            <v>866</v>
          </cell>
          <cell r="H61">
            <v>975</v>
          </cell>
          <cell r="N61">
            <v>975</v>
          </cell>
          <cell r="O61">
            <v>828</v>
          </cell>
        </row>
        <row r="62">
          <cell r="A62" t="str">
            <v>경질비닐전선관HI Φ42mm</v>
          </cell>
          <cell r="B62" t="str">
            <v>경질비닐전선관</v>
          </cell>
          <cell r="C62" t="str">
            <v>HI Φ42mm</v>
          </cell>
          <cell r="D62" t="str">
            <v>m</v>
          </cell>
          <cell r="E62">
            <v>824</v>
          </cell>
          <cell r="F62">
            <v>1403</v>
          </cell>
          <cell r="G62">
            <v>866</v>
          </cell>
          <cell r="H62">
            <v>1278</v>
          </cell>
          <cell r="N62">
            <v>1278</v>
          </cell>
          <cell r="O62">
            <v>1086</v>
          </cell>
        </row>
        <row r="63">
          <cell r="A63" t="str">
            <v>경질비닐전선관HI Φ54mm</v>
          </cell>
          <cell r="B63" t="str">
            <v>경질비닐전선관</v>
          </cell>
          <cell r="C63" t="str">
            <v>HI Φ54mm</v>
          </cell>
          <cell r="D63" t="str">
            <v>m</v>
          </cell>
          <cell r="E63">
            <v>824</v>
          </cell>
          <cell r="F63">
            <v>1990</v>
          </cell>
          <cell r="G63">
            <v>866</v>
          </cell>
          <cell r="H63">
            <v>1813</v>
          </cell>
          <cell r="N63">
            <v>1813</v>
          </cell>
          <cell r="O63">
            <v>1541</v>
          </cell>
        </row>
        <row r="64">
          <cell r="A64" t="str">
            <v>경질비닐전선관HI Φ82mm</v>
          </cell>
          <cell r="B64" t="str">
            <v>경질비닐전선관</v>
          </cell>
          <cell r="C64" t="str">
            <v>HI Φ82mm</v>
          </cell>
          <cell r="D64" t="str">
            <v>m</v>
          </cell>
          <cell r="E64">
            <v>824</v>
          </cell>
          <cell r="F64">
            <v>3846</v>
          </cell>
          <cell r="G64">
            <v>866</v>
          </cell>
          <cell r="H64">
            <v>3558</v>
          </cell>
          <cell r="N64">
            <v>3558</v>
          </cell>
          <cell r="O64">
            <v>3024</v>
          </cell>
        </row>
        <row r="65">
          <cell r="A65" t="str">
            <v>경질비닐전선관HI Φ100mm</v>
          </cell>
          <cell r="B65" t="str">
            <v>경질비닐전선관</v>
          </cell>
          <cell r="C65" t="str">
            <v>HI Φ100mm</v>
          </cell>
          <cell r="D65" t="str">
            <v>m</v>
          </cell>
          <cell r="E65">
            <v>824</v>
          </cell>
          <cell r="F65">
            <v>4627</v>
          </cell>
          <cell r="G65">
            <v>866</v>
          </cell>
          <cell r="H65">
            <v>4214</v>
          </cell>
          <cell r="N65">
            <v>4214</v>
          </cell>
          <cell r="O65">
            <v>3581</v>
          </cell>
        </row>
        <row r="66">
          <cell r="A66" t="str">
            <v>FC관Φ100mm</v>
          </cell>
          <cell r="B66" t="str">
            <v>FC관</v>
          </cell>
          <cell r="C66" t="str">
            <v>Φ100mm</v>
          </cell>
          <cell r="D66" t="str">
            <v>m</v>
          </cell>
          <cell r="E66">
            <v>825</v>
          </cell>
          <cell r="F66">
            <v>4525</v>
          </cell>
          <cell r="G66">
            <v>866</v>
          </cell>
          <cell r="H66">
            <v>3630</v>
          </cell>
          <cell r="N66">
            <v>3630</v>
          </cell>
          <cell r="O66">
            <v>3085</v>
          </cell>
        </row>
        <row r="67">
          <cell r="A67" t="str">
            <v>PE전선관Φ28mm</v>
          </cell>
          <cell r="B67" t="str">
            <v>PE전선관</v>
          </cell>
          <cell r="C67" t="str">
            <v>Φ28mm</v>
          </cell>
          <cell r="D67" t="str">
            <v>m</v>
          </cell>
          <cell r="E67">
            <v>824</v>
          </cell>
          <cell r="F67">
            <v>470</v>
          </cell>
          <cell r="G67">
            <v>867</v>
          </cell>
          <cell r="H67">
            <v>488</v>
          </cell>
          <cell r="N67">
            <v>470</v>
          </cell>
          <cell r="O67">
            <v>399</v>
          </cell>
        </row>
        <row r="68">
          <cell r="A68" t="str">
            <v>PE전선관Φ36mm</v>
          </cell>
          <cell r="B68" t="str">
            <v>PE전선관</v>
          </cell>
          <cell r="C68" t="str">
            <v>Φ36mm</v>
          </cell>
          <cell r="D68" t="str">
            <v>m</v>
          </cell>
          <cell r="E68">
            <v>824</v>
          </cell>
          <cell r="F68">
            <v>700</v>
          </cell>
          <cell r="G68">
            <v>867</v>
          </cell>
          <cell r="H68">
            <v>728</v>
          </cell>
          <cell r="N68">
            <v>700</v>
          </cell>
          <cell r="O68">
            <v>595</v>
          </cell>
        </row>
        <row r="69">
          <cell r="A69" t="str">
            <v>도관전선관115mm</v>
          </cell>
          <cell r="B69" t="str">
            <v>도관전선관</v>
          </cell>
          <cell r="C69" t="str">
            <v>115mm</v>
          </cell>
          <cell r="D69" t="str">
            <v>m</v>
          </cell>
          <cell r="K69">
            <v>10330</v>
          </cell>
          <cell r="L69">
            <v>10850</v>
          </cell>
          <cell r="M69">
            <v>11050</v>
          </cell>
          <cell r="N69">
            <v>10330</v>
          </cell>
          <cell r="O69">
            <v>8780</v>
          </cell>
        </row>
        <row r="70">
          <cell r="A70" t="str">
            <v>밴드115mm</v>
          </cell>
          <cell r="B70" t="str">
            <v>밴드</v>
          </cell>
          <cell r="C70" t="str">
            <v>115mm</v>
          </cell>
          <cell r="D70" t="str">
            <v>m</v>
          </cell>
          <cell r="K70">
            <v>727</v>
          </cell>
          <cell r="N70">
            <v>727</v>
          </cell>
          <cell r="O70">
            <v>617</v>
          </cell>
        </row>
        <row r="71">
          <cell r="A71" t="str">
            <v>노말밴드Φ115mm</v>
          </cell>
          <cell r="B71" t="str">
            <v>노말밴드</v>
          </cell>
          <cell r="C71" t="str">
            <v>Φ115mm</v>
          </cell>
          <cell r="D71" t="str">
            <v>m</v>
          </cell>
          <cell r="K71">
            <v>6000</v>
          </cell>
          <cell r="N71">
            <v>6000</v>
          </cell>
          <cell r="O71">
            <v>5100</v>
          </cell>
        </row>
        <row r="72">
          <cell r="A72" t="str">
            <v>노말밴드HI Φ28mm</v>
          </cell>
          <cell r="B72" t="str">
            <v>노말밴드</v>
          </cell>
          <cell r="C72" t="str">
            <v>HI Φ28mm</v>
          </cell>
          <cell r="D72" t="str">
            <v>m</v>
          </cell>
          <cell r="E72">
            <v>824</v>
          </cell>
          <cell r="F72">
            <v>960</v>
          </cell>
          <cell r="G72">
            <v>874</v>
          </cell>
          <cell r="H72">
            <v>810</v>
          </cell>
          <cell r="N72">
            <v>810</v>
          </cell>
          <cell r="O72">
            <v>688</v>
          </cell>
        </row>
        <row r="73">
          <cell r="A73" t="str">
            <v>노말밴드HI Φ36mm</v>
          </cell>
          <cell r="B73" t="str">
            <v>노말밴드</v>
          </cell>
          <cell r="C73" t="str">
            <v>HI Φ36mm</v>
          </cell>
          <cell r="D73" t="str">
            <v>m</v>
          </cell>
          <cell r="E73">
            <v>824</v>
          </cell>
          <cell r="F73">
            <v>1080</v>
          </cell>
          <cell r="G73">
            <v>874</v>
          </cell>
          <cell r="H73">
            <v>1119</v>
          </cell>
          <cell r="N73">
            <v>1080</v>
          </cell>
          <cell r="O73">
            <v>918</v>
          </cell>
        </row>
        <row r="74">
          <cell r="A74" t="str">
            <v>노말밴드HI Φ42mm</v>
          </cell>
          <cell r="B74" t="str">
            <v>노말밴드</v>
          </cell>
          <cell r="C74" t="str">
            <v>HI Φ42mm</v>
          </cell>
          <cell r="D74" t="str">
            <v>m</v>
          </cell>
          <cell r="E74">
            <v>824</v>
          </cell>
          <cell r="F74">
            <v>1440</v>
          </cell>
          <cell r="G74">
            <v>874</v>
          </cell>
          <cell r="H74">
            <v>1463</v>
          </cell>
          <cell r="N74">
            <v>1440</v>
          </cell>
          <cell r="O74">
            <v>1224</v>
          </cell>
        </row>
        <row r="75">
          <cell r="A75" t="str">
            <v>노말밴드HI Φ54mm</v>
          </cell>
          <cell r="B75" t="str">
            <v>노말밴드</v>
          </cell>
          <cell r="C75" t="str">
            <v>HI Φ54mm</v>
          </cell>
          <cell r="D75" t="str">
            <v>m</v>
          </cell>
          <cell r="E75">
            <v>824</v>
          </cell>
          <cell r="F75">
            <v>2040</v>
          </cell>
          <cell r="G75">
            <v>874</v>
          </cell>
          <cell r="H75">
            <v>2308</v>
          </cell>
          <cell r="N75">
            <v>2040</v>
          </cell>
          <cell r="O75">
            <v>1734</v>
          </cell>
        </row>
        <row r="76">
          <cell r="A76" t="str">
            <v>노말밴드HI Φ70mm</v>
          </cell>
          <cell r="B76" t="str">
            <v>노말밴드</v>
          </cell>
          <cell r="C76" t="str">
            <v>HI Φ70mm</v>
          </cell>
          <cell r="D76" t="str">
            <v>m</v>
          </cell>
          <cell r="E76">
            <v>824</v>
          </cell>
          <cell r="F76">
            <v>3960</v>
          </cell>
          <cell r="G76">
            <v>874</v>
          </cell>
          <cell r="H76">
            <v>3341</v>
          </cell>
          <cell r="N76">
            <v>3341</v>
          </cell>
          <cell r="O76">
            <v>2839</v>
          </cell>
        </row>
        <row r="77">
          <cell r="A77" t="str">
            <v>노말밴드HI Φ100mm</v>
          </cell>
          <cell r="B77" t="str">
            <v>노말밴드</v>
          </cell>
          <cell r="C77" t="str">
            <v>HI Φ100mm</v>
          </cell>
          <cell r="D77" t="str">
            <v>m</v>
          </cell>
          <cell r="E77">
            <v>824</v>
          </cell>
          <cell r="F77">
            <v>8400</v>
          </cell>
          <cell r="G77">
            <v>874</v>
          </cell>
          <cell r="H77">
            <v>7030</v>
          </cell>
          <cell r="N77">
            <v>7030</v>
          </cell>
          <cell r="O77">
            <v>5975</v>
          </cell>
        </row>
        <row r="78">
          <cell r="A78" t="str">
            <v>파이프 크램프Φ16mm</v>
          </cell>
          <cell r="B78" t="str">
            <v>파이프 크램프</v>
          </cell>
          <cell r="C78" t="str">
            <v>Φ16mm</v>
          </cell>
          <cell r="D78" t="str">
            <v>개</v>
          </cell>
          <cell r="E78">
            <v>820</v>
          </cell>
          <cell r="F78">
            <v>270</v>
          </cell>
          <cell r="G78">
            <v>871</v>
          </cell>
          <cell r="H78">
            <v>325</v>
          </cell>
          <cell r="N78">
            <v>270</v>
          </cell>
          <cell r="O78">
            <v>229</v>
          </cell>
        </row>
        <row r="79">
          <cell r="A79" t="str">
            <v>파이프 크램프Φ22mm</v>
          </cell>
          <cell r="B79" t="str">
            <v>파이프 크램프</v>
          </cell>
          <cell r="C79" t="str">
            <v>Φ22mm</v>
          </cell>
          <cell r="D79" t="str">
            <v>개</v>
          </cell>
          <cell r="E79">
            <v>820</v>
          </cell>
          <cell r="F79">
            <v>300</v>
          </cell>
          <cell r="G79">
            <v>871</v>
          </cell>
          <cell r="H79">
            <v>385</v>
          </cell>
          <cell r="N79">
            <v>300</v>
          </cell>
          <cell r="O79">
            <v>255</v>
          </cell>
        </row>
        <row r="80">
          <cell r="A80" t="str">
            <v>파이프 크램프Φ28mm</v>
          </cell>
          <cell r="B80" t="str">
            <v>파이프 크램프</v>
          </cell>
          <cell r="C80" t="str">
            <v>Φ28mm</v>
          </cell>
          <cell r="D80" t="str">
            <v>개</v>
          </cell>
          <cell r="E80">
            <v>820</v>
          </cell>
          <cell r="F80">
            <v>350</v>
          </cell>
          <cell r="G80">
            <v>871</v>
          </cell>
          <cell r="H80">
            <v>445</v>
          </cell>
          <cell r="N80">
            <v>350</v>
          </cell>
          <cell r="O80">
            <v>297</v>
          </cell>
        </row>
        <row r="81">
          <cell r="A81" t="str">
            <v>파이프 크램프Φ36mm</v>
          </cell>
          <cell r="B81" t="str">
            <v>파이프 크램프</v>
          </cell>
          <cell r="C81" t="str">
            <v>Φ36mm</v>
          </cell>
          <cell r="D81" t="str">
            <v>개</v>
          </cell>
          <cell r="E81">
            <v>820</v>
          </cell>
          <cell r="F81">
            <v>420</v>
          </cell>
          <cell r="G81">
            <v>871</v>
          </cell>
          <cell r="H81">
            <v>510</v>
          </cell>
          <cell r="N81">
            <v>420</v>
          </cell>
          <cell r="O81">
            <v>357</v>
          </cell>
        </row>
        <row r="82">
          <cell r="A82" t="str">
            <v>파이프 크램프Φ42mm</v>
          </cell>
          <cell r="B82" t="str">
            <v>파이프 크램프</v>
          </cell>
          <cell r="C82" t="str">
            <v>Φ42mm</v>
          </cell>
          <cell r="D82" t="str">
            <v>개</v>
          </cell>
          <cell r="E82">
            <v>820</v>
          </cell>
          <cell r="F82">
            <v>460</v>
          </cell>
          <cell r="G82">
            <v>871</v>
          </cell>
          <cell r="H82">
            <v>600</v>
          </cell>
          <cell r="N82">
            <v>460</v>
          </cell>
          <cell r="O82">
            <v>391</v>
          </cell>
        </row>
        <row r="83">
          <cell r="A83" t="str">
            <v>파이프 크램프Φ54mm</v>
          </cell>
          <cell r="B83" t="str">
            <v>파이프 크램프</v>
          </cell>
          <cell r="C83" t="str">
            <v>Φ54mm</v>
          </cell>
          <cell r="D83" t="str">
            <v>개</v>
          </cell>
          <cell r="E83">
            <v>820</v>
          </cell>
          <cell r="F83">
            <v>550</v>
          </cell>
          <cell r="G83">
            <v>871</v>
          </cell>
          <cell r="H83">
            <v>710</v>
          </cell>
          <cell r="N83">
            <v>550</v>
          </cell>
          <cell r="O83">
            <v>467</v>
          </cell>
        </row>
        <row r="84">
          <cell r="A84" t="str">
            <v>파이프 크램프Φ70mm</v>
          </cell>
          <cell r="B84" t="str">
            <v>파이프 크램프</v>
          </cell>
          <cell r="C84" t="str">
            <v>Φ70mm</v>
          </cell>
          <cell r="D84" t="str">
            <v>개</v>
          </cell>
          <cell r="E84">
            <v>820</v>
          </cell>
          <cell r="F84">
            <v>999</v>
          </cell>
          <cell r="G84">
            <v>871</v>
          </cell>
          <cell r="H84">
            <v>930</v>
          </cell>
          <cell r="N84">
            <v>930</v>
          </cell>
          <cell r="O84">
            <v>790</v>
          </cell>
        </row>
        <row r="85">
          <cell r="A85" t="str">
            <v>OUTLET BOX중형4각(54mm)</v>
          </cell>
          <cell r="B85" t="str">
            <v>OUTLET BOX</v>
          </cell>
          <cell r="C85" t="str">
            <v>중형4각(54mm)</v>
          </cell>
          <cell r="D85" t="str">
            <v>개</v>
          </cell>
          <cell r="E85">
            <v>827</v>
          </cell>
          <cell r="F85">
            <v>832</v>
          </cell>
          <cell r="G85">
            <v>882</v>
          </cell>
          <cell r="H85">
            <v>630</v>
          </cell>
          <cell r="I85">
            <v>389</v>
          </cell>
          <cell r="J85">
            <v>630</v>
          </cell>
          <cell r="N85">
            <v>630</v>
          </cell>
          <cell r="O85">
            <v>535</v>
          </cell>
        </row>
        <row r="86">
          <cell r="A86" t="str">
            <v>OUTLET BOX COVER중형4각(54mm)</v>
          </cell>
          <cell r="B86" t="str">
            <v>OUTLET BOX COVER</v>
          </cell>
          <cell r="C86" t="str">
            <v>중형4각(54mm)</v>
          </cell>
          <cell r="D86" t="str">
            <v>개</v>
          </cell>
          <cell r="E86">
            <v>796</v>
          </cell>
          <cell r="F86">
            <v>238</v>
          </cell>
          <cell r="G86">
            <v>883</v>
          </cell>
          <cell r="H86">
            <v>220</v>
          </cell>
          <cell r="N86">
            <v>220</v>
          </cell>
          <cell r="O86">
            <v>187</v>
          </cell>
        </row>
        <row r="87">
          <cell r="A87" t="str">
            <v>풀박스200x200x100</v>
          </cell>
          <cell r="B87" t="str">
            <v>풀박스</v>
          </cell>
          <cell r="C87" t="str">
            <v>200x200x100</v>
          </cell>
          <cell r="D87" t="str">
            <v>개</v>
          </cell>
          <cell r="E87">
            <v>825</v>
          </cell>
          <cell r="F87">
            <v>3647</v>
          </cell>
          <cell r="G87">
            <v>883</v>
          </cell>
          <cell r="H87">
            <v>3420</v>
          </cell>
          <cell r="N87">
            <v>3420</v>
          </cell>
          <cell r="O87">
            <v>2907</v>
          </cell>
        </row>
        <row r="88">
          <cell r="A88" t="str">
            <v>CP BOX 설치300x300x300</v>
          </cell>
          <cell r="B88" t="str">
            <v>CP BOX 설치</v>
          </cell>
          <cell r="C88" t="str">
            <v>300x300x300</v>
          </cell>
          <cell r="D88" t="str">
            <v>개</v>
          </cell>
          <cell r="E88">
            <v>825</v>
          </cell>
          <cell r="F88">
            <v>9535</v>
          </cell>
          <cell r="G88">
            <v>883</v>
          </cell>
          <cell r="H88">
            <v>8910</v>
          </cell>
          <cell r="N88">
            <v>8910</v>
          </cell>
          <cell r="O88">
            <v>7573</v>
          </cell>
        </row>
        <row r="89">
          <cell r="A89" t="str">
            <v>멘홀용사다리L2300</v>
          </cell>
          <cell r="B89" t="str">
            <v>멘홀용사다리</v>
          </cell>
          <cell r="C89" t="str">
            <v>L2300</v>
          </cell>
          <cell r="D89" t="str">
            <v>개</v>
          </cell>
          <cell r="E89">
            <v>911</v>
          </cell>
          <cell r="F89">
            <v>50000</v>
          </cell>
          <cell r="G89">
            <v>958</v>
          </cell>
          <cell r="H89">
            <v>55000</v>
          </cell>
          <cell r="N89">
            <v>50000</v>
          </cell>
          <cell r="O89">
            <v>42500</v>
          </cell>
        </row>
        <row r="90">
          <cell r="A90" t="str">
            <v>가락지19x92mm</v>
          </cell>
          <cell r="B90" t="str">
            <v>가락지</v>
          </cell>
          <cell r="C90" t="str">
            <v>19x92mm</v>
          </cell>
          <cell r="D90" t="str">
            <v>개</v>
          </cell>
          <cell r="E90">
            <v>909</v>
          </cell>
          <cell r="F90">
            <v>320</v>
          </cell>
          <cell r="G90">
            <v>958</v>
          </cell>
          <cell r="H90">
            <v>320</v>
          </cell>
          <cell r="N90">
            <v>320</v>
          </cell>
          <cell r="O90">
            <v>272</v>
          </cell>
        </row>
        <row r="91">
          <cell r="A91" t="str">
            <v>사다리각정19x1040mm</v>
          </cell>
          <cell r="B91" t="str">
            <v>사다리각정</v>
          </cell>
          <cell r="C91" t="str">
            <v>19x1040mm</v>
          </cell>
          <cell r="D91" t="str">
            <v>개</v>
          </cell>
          <cell r="E91">
            <v>909</v>
          </cell>
          <cell r="F91">
            <v>2800</v>
          </cell>
          <cell r="G91">
            <v>958</v>
          </cell>
          <cell r="H91">
            <v>2800</v>
          </cell>
          <cell r="N91">
            <v>2800</v>
          </cell>
          <cell r="O91">
            <v>2380</v>
          </cell>
        </row>
        <row r="92">
          <cell r="A92" t="str">
            <v>케이블받침대75x40x5x1150</v>
          </cell>
          <cell r="B92" t="str">
            <v>케이블받침대</v>
          </cell>
          <cell r="C92" t="str">
            <v>75x40x5x1150</v>
          </cell>
          <cell r="D92" t="str">
            <v>개</v>
          </cell>
          <cell r="E92">
            <v>909</v>
          </cell>
          <cell r="F92">
            <v>7000</v>
          </cell>
          <cell r="G92">
            <v>958</v>
          </cell>
          <cell r="H92">
            <v>7000</v>
          </cell>
          <cell r="N92">
            <v>7000</v>
          </cell>
          <cell r="O92">
            <v>5950</v>
          </cell>
        </row>
        <row r="93">
          <cell r="A93" t="str">
            <v>케이블받침대75x40x5x550</v>
          </cell>
          <cell r="B93" t="str">
            <v>케이블받침대</v>
          </cell>
          <cell r="C93" t="str">
            <v>75x40x5x550</v>
          </cell>
          <cell r="D93" t="str">
            <v>개</v>
          </cell>
          <cell r="E93">
            <v>909</v>
          </cell>
          <cell r="F93">
            <v>5500</v>
          </cell>
          <cell r="G93">
            <v>958</v>
          </cell>
          <cell r="H93">
            <v>5500</v>
          </cell>
          <cell r="N93">
            <v>5500</v>
          </cell>
          <cell r="O93">
            <v>4675</v>
          </cell>
        </row>
        <row r="94">
          <cell r="A94" t="str">
            <v>케이블걸이쇠1호</v>
          </cell>
          <cell r="B94" t="str">
            <v>케이블걸이쇠</v>
          </cell>
          <cell r="C94" t="str">
            <v>1호</v>
          </cell>
          <cell r="D94" t="str">
            <v>개</v>
          </cell>
          <cell r="E94">
            <v>909</v>
          </cell>
          <cell r="F94">
            <v>1500</v>
          </cell>
          <cell r="G94">
            <v>958</v>
          </cell>
          <cell r="H94">
            <v>1510</v>
          </cell>
          <cell r="N94">
            <v>1500</v>
          </cell>
          <cell r="O94">
            <v>1275</v>
          </cell>
        </row>
        <row r="95">
          <cell r="A95" t="str">
            <v>케이블걸이쇠3호</v>
          </cell>
          <cell r="B95" t="str">
            <v>케이블걸이쇠</v>
          </cell>
          <cell r="C95" t="str">
            <v>3호</v>
          </cell>
          <cell r="D95" t="str">
            <v>개</v>
          </cell>
          <cell r="E95">
            <v>909</v>
          </cell>
          <cell r="F95">
            <v>1850</v>
          </cell>
          <cell r="G95">
            <v>958</v>
          </cell>
          <cell r="H95">
            <v>1850</v>
          </cell>
          <cell r="N95">
            <v>1850</v>
          </cell>
          <cell r="O95">
            <v>1572</v>
          </cell>
        </row>
        <row r="96">
          <cell r="A96" t="str">
            <v>스피커HORN형5W</v>
          </cell>
          <cell r="B96" t="str">
            <v>스피커</v>
          </cell>
          <cell r="C96" t="str">
            <v>HORN형5W</v>
          </cell>
          <cell r="D96" t="str">
            <v>개</v>
          </cell>
          <cell r="K96">
            <v>35000</v>
          </cell>
          <cell r="L96">
            <v>38000</v>
          </cell>
          <cell r="N96">
            <v>35000</v>
          </cell>
          <cell r="O96">
            <v>29750</v>
          </cell>
        </row>
        <row r="97">
          <cell r="A97" t="str">
            <v>접지봉16Dx1800mm</v>
          </cell>
          <cell r="B97" t="str">
            <v>접지봉</v>
          </cell>
          <cell r="C97" t="str">
            <v>16Dx1800mm</v>
          </cell>
          <cell r="D97" t="str">
            <v>개</v>
          </cell>
          <cell r="E97">
            <v>887</v>
          </cell>
          <cell r="F97">
            <v>4900</v>
          </cell>
          <cell r="G97">
            <v>930</v>
          </cell>
          <cell r="H97">
            <v>4500</v>
          </cell>
          <cell r="N97">
            <v>4500</v>
          </cell>
          <cell r="O97">
            <v>3825</v>
          </cell>
        </row>
        <row r="98">
          <cell r="A98" t="str">
            <v>접지슬리브60-60,38㎟</v>
          </cell>
          <cell r="B98" t="str">
            <v>접지슬리브</v>
          </cell>
          <cell r="C98" t="str">
            <v>60-60,38㎟</v>
          </cell>
          <cell r="D98" t="str">
            <v>개</v>
          </cell>
          <cell r="E98">
            <v>910</v>
          </cell>
          <cell r="F98">
            <v>1610</v>
          </cell>
          <cell r="G98">
            <v>930</v>
          </cell>
          <cell r="H98">
            <v>1500</v>
          </cell>
          <cell r="N98">
            <v>1500</v>
          </cell>
          <cell r="O98">
            <v>1275</v>
          </cell>
        </row>
        <row r="99">
          <cell r="A99" t="str">
            <v>접지저항저감제통신접지용(10㎏)</v>
          </cell>
          <cell r="B99" t="str">
            <v>접지저항저감제</v>
          </cell>
          <cell r="C99" t="str">
            <v>통신접지용(10㎏)</v>
          </cell>
          <cell r="D99" t="str">
            <v>포</v>
          </cell>
          <cell r="E99">
            <v>887</v>
          </cell>
          <cell r="F99">
            <v>25000</v>
          </cell>
          <cell r="G99">
            <v>930</v>
          </cell>
          <cell r="H99">
            <v>22000</v>
          </cell>
          <cell r="N99">
            <v>22000</v>
          </cell>
          <cell r="O99">
            <v>18700</v>
          </cell>
        </row>
        <row r="100">
          <cell r="A100" t="str">
            <v>PP헌마대60x100</v>
          </cell>
          <cell r="B100" t="str">
            <v>PP헌마대</v>
          </cell>
          <cell r="C100" t="str">
            <v>60x100</v>
          </cell>
          <cell r="D100" t="str">
            <v>개</v>
          </cell>
          <cell r="E100">
            <v>1160</v>
          </cell>
          <cell r="F100">
            <v>160</v>
          </cell>
          <cell r="G100">
            <v>1096</v>
          </cell>
          <cell r="H100">
            <v>120</v>
          </cell>
          <cell r="N100">
            <v>120</v>
          </cell>
          <cell r="O100">
            <v>102</v>
          </cell>
        </row>
        <row r="101">
          <cell r="A101" t="str">
            <v>새들 Φ28mm</v>
          </cell>
          <cell r="B101" t="str">
            <v>새들</v>
          </cell>
          <cell r="C101" t="str">
            <v xml:space="preserve"> Φ28mm</v>
          </cell>
          <cell r="D101" t="str">
            <v>개</v>
          </cell>
          <cell r="E101">
            <v>820</v>
          </cell>
          <cell r="F101">
            <v>85</v>
          </cell>
          <cell r="G101">
            <v>871</v>
          </cell>
          <cell r="H101">
            <v>74</v>
          </cell>
          <cell r="N101">
            <v>74</v>
          </cell>
          <cell r="O101">
            <v>62</v>
          </cell>
        </row>
        <row r="102">
          <cell r="A102" t="str">
            <v>새들 Φ36mm</v>
          </cell>
          <cell r="B102" t="str">
            <v>새들</v>
          </cell>
          <cell r="C102" t="str">
            <v xml:space="preserve"> Φ36mm</v>
          </cell>
          <cell r="D102" t="str">
            <v>개</v>
          </cell>
          <cell r="E102">
            <v>820</v>
          </cell>
          <cell r="F102">
            <v>110</v>
          </cell>
          <cell r="G102">
            <v>871</v>
          </cell>
          <cell r="H102">
            <v>95</v>
          </cell>
          <cell r="N102">
            <v>95</v>
          </cell>
          <cell r="O102">
            <v>80</v>
          </cell>
        </row>
        <row r="103">
          <cell r="A103" t="str">
            <v>켑타이어케이블CTC2P</v>
          </cell>
          <cell r="B103" t="str">
            <v>켑타이어케이블</v>
          </cell>
          <cell r="C103" t="str">
            <v>CTC2P</v>
          </cell>
          <cell r="D103" t="str">
            <v>m</v>
          </cell>
          <cell r="K103">
            <v>800</v>
          </cell>
          <cell r="N103">
            <v>800</v>
          </cell>
          <cell r="O103">
            <v>680</v>
          </cell>
        </row>
        <row r="104">
          <cell r="A104" t="str">
            <v>건전지4MD</v>
          </cell>
          <cell r="B104" t="str">
            <v>건전지</v>
          </cell>
          <cell r="C104" t="str">
            <v>4MD</v>
          </cell>
          <cell r="D104" t="str">
            <v>개</v>
          </cell>
          <cell r="E104">
            <v>968</v>
          </cell>
          <cell r="F104">
            <v>2750</v>
          </cell>
          <cell r="G104">
            <v>984</v>
          </cell>
          <cell r="H104">
            <v>3200</v>
          </cell>
          <cell r="N104">
            <v>2750</v>
          </cell>
          <cell r="O104">
            <v>2337</v>
          </cell>
        </row>
        <row r="105">
          <cell r="A105" t="str">
            <v>케이블심선접속자0.4-0.9(ULG)</v>
          </cell>
          <cell r="B105" t="str">
            <v>케이블심선접속자</v>
          </cell>
          <cell r="C105" t="str">
            <v>0.4-0.9(ULG)</v>
          </cell>
          <cell r="D105" t="str">
            <v>개</v>
          </cell>
          <cell r="E105">
            <v>817</v>
          </cell>
          <cell r="F105">
            <v>170</v>
          </cell>
          <cell r="G105">
            <v>865</v>
          </cell>
          <cell r="H105">
            <v>170</v>
          </cell>
          <cell r="N105">
            <v>170</v>
          </cell>
          <cell r="O105">
            <v>144</v>
          </cell>
        </row>
        <row r="106">
          <cell r="A106" t="str">
            <v>케이블접속제75-300</v>
          </cell>
          <cell r="B106" t="str">
            <v>케이블접속제</v>
          </cell>
          <cell r="C106" t="str">
            <v>75-300</v>
          </cell>
          <cell r="D106" t="str">
            <v>KIT</v>
          </cell>
          <cell r="E106">
            <v>817</v>
          </cell>
          <cell r="F106">
            <v>121200</v>
          </cell>
          <cell r="G106">
            <v>865</v>
          </cell>
          <cell r="H106">
            <v>121200</v>
          </cell>
          <cell r="N106">
            <v>121200</v>
          </cell>
          <cell r="O106">
            <v>103020</v>
          </cell>
        </row>
        <row r="107">
          <cell r="A107" t="str">
            <v>경고테이프200×250</v>
          </cell>
          <cell r="B107" t="str">
            <v>경고테이프</v>
          </cell>
          <cell r="C107" t="str">
            <v>200×250</v>
          </cell>
          <cell r="D107" t="str">
            <v>m</v>
          </cell>
          <cell r="E107">
            <v>909</v>
          </cell>
          <cell r="F107">
            <v>170</v>
          </cell>
          <cell r="G107">
            <v>958</v>
          </cell>
          <cell r="H107">
            <v>170</v>
          </cell>
          <cell r="N107">
            <v>170</v>
          </cell>
          <cell r="O107">
            <v>144</v>
          </cell>
        </row>
        <row r="108">
          <cell r="A108" t="str">
            <v>다이폴ANT1호</v>
          </cell>
          <cell r="B108" t="str">
            <v>다이폴ANT</v>
          </cell>
          <cell r="C108" t="str">
            <v>1호</v>
          </cell>
          <cell r="D108" t="str">
            <v>기</v>
          </cell>
          <cell r="K108">
            <v>250000</v>
          </cell>
          <cell r="L108">
            <v>200000</v>
          </cell>
          <cell r="N108">
            <v>200000</v>
          </cell>
          <cell r="O108">
            <v>170000</v>
          </cell>
        </row>
        <row r="109">
          <cell r="A109" t="str">
            <v>ANTG.P(3단)</v>
          </cell>
          <cell r="B109" t="str">
            <v>ANT</v>
          </cell>
          <cell r="C109" t="str">
            <v>G.P(3단)</v>
          </cell>
          <cell r="D109" t="str">
            <v>기</v>
          </cell>
          <cell r="K109">
            <v>150000</v>
          </cell>
          <cell r="L109">
            <v>120000</v>
          </cell>
          <cell r="N109">
            <v>120000</v>
          </cell>
          <cell r="O109">
            <v>102000</v>
          </cell>
        </row>
        <row r="110">
          <cell r="A110" t="str">
            <v>ELP전선관Φ30</v>
          </cell>
          <cell r="B110" t="str">
            <v>ELP전선관</v>
          </cell>
          <cell r="C110" t="str">
            <v>Φ30</v>
          </cell>
          <cell r="D110" t="str">
            <v>m</v>
          </cell>
          <cell r="E110">
            <v>825</v>
          </cell>
          <cell r="F110">
            <v>470</v>
          </cell>
          <cell r="G110">
            <v>867</v>
          </cell>
          <cell r="H110">
            <v>310</v>
          </cell>
          <cell r="N110">
            <v>310</v>
          </cell>
          <cell r="O110">
            <v>263</v>
          </cell>
        </row>
        <row r="111">
          <cell r="A111" t="str">
            <v>ELP전선관Φ80</v>
          </cell>
          <cell r="B111" t="str">
            <v>ELP전선관</v>
          </cell>
          <cell r="C111" t="str">
            <v>Φ80</v>
          </cell>
          <cell r="D111" t="str">
            <v>m</v>
          </cell>
          <cell r="E111">
            <v>825</v>
          </cell>
          <cell r="F111">
            <v>1860</v>
          </cell>
          <cell r="G111">
            <v>867</v>
          </cell>
          <cell r="H111">
            <v>1300</v>
          </cell>
          <cell r="N111">
            <v>1300</v>
          </cell>
          <cell r="O111">
            <v>1105</v>
          </cell>
        </row>
        <row r="112">
          <cell r="A112" t="str">
            <v>ELP전선관Φ50</v>
          </cell>
          <cell r="B112" t="str">
            <v>ELP전선관</v>
          </cell>
          <cell r="C112" t="str">
            <v>Φ50</v>
          </cell>
          <cell r="D112" t="str">
            <v>m</v>
          </cell>
          <cell r="E112">
            <v>825</v>
          </cell>
          <cell r="F112">
            <v>860</v>
          </cell>
          <cell r="G112">
            <v>867</v>
          </cell>
          <cell r="H112">
            <v>640</v>
          </cell>
          <cell r="N112">
            <v>640</v>
          </cell>
          <cell r="O112">
            <v>544</v>
          </cell>
        </row>
        <row r="113">
          <cell r="A113" t="str">
            <v>ELP전선관Φ100</v>
          </cell>
          <cell r="B113" t="str">
            <v>ELP전선관</v>
          </cell>
          <cell r="C113" t="str">
            <v>Φ100</v>
          </cell>
          <cell r="D113" t="str">
            <v>m</v>
          </cell>
          <cell r="E113">
            <v>825</v>
          </cell>
          <cell r="F113">
            <v>2570</v>
          </cell>
          <cell r="G113">
            <v>867</v>
          </cell>
          <cell r="H113">
            <v>1600</v>
          </cell>
          <cell r="N113">
            <v>1600</v>
          </cell>
          <cell r="O113">
            <v>1360</v>
          </cell>
        </row>
        <row r="114">
          <cell r="A114" t="str">
            <v>새들Φ54mm</v>
          </cell>
          <cell r="B114" t="str">
            <v>새들</v>
          </cell>
          <cell r="C114" t="str">
            <v>Φ54mm</v>
          </cell>
          <cell r="D114" t="str">
            <v>개</v>
          </cell>
          <cell r="E114">
            <v>820</v>
          </cell>
          <cell r="F114">
            <v>270</v>
          </cell>
          <cell r="G114">
            <v>871</v>
          </cell>
          <cell r="H114">
            <v>189</v>
          </cell>
          <cell r="N114">
            <v>189</v>
          </cell>
          <cell r="O114">
            <v>160</v>
          </cell>
        </row>
        <row r="115">
          <cell r="A115" t="str">
            <v>새들Φ22mm</v>
          </cell>
          <cell r="B115" t="str">
            <v>새들</v>
          </cell>
          <cell r="C115" t="str">
            <v>Φ22mm</v>
          </cell>
          <cell r="D115" t="str">
            <v>개</v>
          </cell>
          <cell r="E115">
            <v>820</v>
          </cell>
          <cell r="F115">
            <v>110</v>
          </cell>
          <cell r="N115">
            <v>110</v>
          </cell>
          <cell r="O115">
            <v>93</v>
          </cell>
        </row>
        <row r="116">
          <cell r="A116" t="str">
            <v>접착제0</v>
          </cell>
          <cell r="B116" t="str">
            <v>접착제</v>
          </cell>
          <cell r="C116">
            <v>0</v>
          </cell>
          <cell r="D116" t="str">
            <v>g</v>
          </cell>
          <cell r="E116">
            <v>129</v>
          </cell>
          <cell r="F116">
            <v>3</v>
          </cell>
          <cell r="G116">
            <v>104</v>
          </cell>
          <cell r="H116">
            <v>10</v>
          </cell>
          <cell r="N116">
            <v>3</v>
          </cell>
          <cell r="O116">
            <v>2</v>
          </cell>
        </row>
        <row r="117">
          <cell r="A117" t="str">
            <v>PP로프4mm</v>
          </cell>
          <cell r="B117" t="str">
            <v>PP로프</v>
          </cell>
          <cell r="C117" t="str">
            <v>4mm</v>
          </cell>
          <cell r="D117" t="str">
            <v>m</v>
          </cell>
          <cell r="E117">
            <v>1134</v>
          </cell>
          <cell r="F117">
            <v>53.5</v>
          </cell>
          <cell r="N117">
            <v>53.5</v>
          </cell>
          <cell r="O117">
            <v>45</v>
          </cell>
        </row>
        <row r="118">
          <cell r="A118" t="str">
            <v>시외케이블PEF0.9x38P(15%차)</v>
          </cell>
          <cell r="B118" t="str">
            <v>시외케이블</v>
          </cell>
          <cell r="C118" t="str">
            <v>PEF0.9x38P(15%차)</v>
          </cell>
          <cell r="D118" t="str">
            <v>m</v>
          </cell>
          <cell r="K118">
            <v>7540</v>
          </cell>
          <cell r="N118">
            <v>7540</v>
          </cell>
          <cell r="O118">
            <v>6409</v>
          </cell>
        </row>
        <row r="119">
          <cell r="A119" t="str">
            <v>달대볼트1/2"×1000</v>
          </cell>
          <cell r="B119" t="str">
            <v>달대볼트</v>
          </cell>
          <cell r="C119" t="str">
            <v>1/2"×1000</v>
          </cell>
          <cell r="D119" t="str">
            <v>개</v>
          </cell>
          <cell r="E119">
            <v>97</v>
          </cell>
          <cell r="F119">
            <v>480</v>
          </cell>
          <cell r="G119">
            <v>78</v>
          </cell>
          <cell r="H119">
            <v>585</v>
          </cell>
          <cell r="N119">
            <v>480</v>
          </cell>
          <cell r="O119">
            <v>408</v>
          </cell>
        </row>
        <row r="120">
          <cell r="A120" t="str">
            <v>케이블접속제75-600</v>
          </cell>
          <cell r="B120" t="str">
            <v>케이블접속제</v>
          </cell>
          <cell r="C120" t="str">
            <v>75-600</v>
          </cell>
          <cell r="D120" t="str">
            <v>KIT</v>
          </cell>
          <cell r="E120">
            <v>817</v>
          </cell>
          <cell r="F120">
            <v>161000</v>
          </cell>
          <cell r="G120">
            <v>865</v>
          </cell>
          <cell r="H120">
            <v>161000</v>
          </cell>
          <cell r="N120">
            <v>161000</v>
          </cell>
          <cell r="O120">
            <v>136850</v>
          </cell>
        </row>
        <row r="121">
          <cell r="A121" t="str">
            <v>브레이드</v>
          </cell>
          <cell r="B121" t="str">
            <v>브레이드</v>
          </cell>
          <cell r="D121" t="str">
            <v>개</v>
          </cell>
          <cell r="E121">
            <v>1095</v>
          </cell>
          <cell r="F121">
            <v>188000</v>
          </cell>
          <cell r="G121">
            <v>781</v>
          </cell>
          <cell r="H121">
            <v>170000</v>
          </cell>
          <cell r="N121">
            <v>170000</v>
          </cell>
          <cell r="O121">
            <v>144500</v>
          </cell>
        </row>
        <row r="122">
          <cell r="A122" t="str">
            <v>열수축보수관34-10-1500</v>
          </cell>
          <cell r="B122" t="str">
            <v>열수축보수관</v>
          </cell>
          <cell r="C122" t="str">
            <v>34-10-1500</v>
          </cell>
          <cell r="D122" t="str">
            <v>m</v>
          </cell>
          <cell r="G122">
            <v>864</v>
          </cell>
          <cell r="H122">
            <v>14600</v>
          </cell>
          <cell r="N122">
            <v>14600</v>
          </cell>
          <cell r="O122">
            <v>12410</v>
          </cell>
        </row>
        <row r="123">
          <cell r="A123" t="str">
            <v>POLE행선안내게시기 지지용</v>
          </cell>
          <cell r="B123" t="str">
            <v>POLE</v>
          </cell>
          <cell r="C123" t="str">
            <v>행선안내게시기 지지용</v>
          </cell>
          <cell r="D123" t="str">
            <v>개소</v>
          </cell>
          <cell r="K123">
            <v>1250000</v>
          </cell>
          <cell r="L123">
            <v>1500000</v>
          </cell>
          <cell r="N123">
            <v>1250000</v>
          </cell>
          <cell r="O123">
            <v>1062500</v>
          </cell>
        </row>
        <row r="124">
          <cell r="A124" t="str">
            <v>아스콘1#78 표층용</v>
          </cell>
          <cell r="B124" t="str">
            <v>아스콘1</v>
          </cell>
          <cell r="C124" t="str">
            <v>#78 표층용</v>
          </cell>
          <cell r="D124" t="str">
            <v>톤</v>
          </cell>
          <cell r="E124">
            <v>154</v>
          </cell>
          <cell r="F124">
            <v>32200</v>
          </cell>
          <cell r="G124">
            <v>150</v>
          </cell>
          <cell r="H124">
            <v>34200</v>
          </cell>
          <cell r="N124">
            <v>32200</v>
          </cell>
          <cell r="O124">
            <v>27370</v>
          </cell>
        </row>
        <row r="125">
          <cell r="A125" t="str">
            <v>유화아스팔트RSC-4</v>
          </cell>
          <cell r="B125" t="str">
            <v>유화아스팔트</v>
          </cell>
          <cell r="C125" t="str">
            <v>RSC-4</v>
          </cell>
          <cell r="D125" t="str">
            <v>D/M</v>
          </cell>
          <cell r="E125">
            <v>154</v>
          </cell>
          <cell r="F125">
            <v>52000</v>
          </cell>
          <cell r="G125">
            <v>150</v>
          </cell>
          <cell r="H125">
            <v>52000</v>
          </cell>
          <cell r="N125">
            <v>52000</v>
          </cell>
          <cell r="O125">
            <v>44200</v>
          </cell>
        </row>
        <row r="126">
          <cell r="A126" t="str">
            <v>아스콘2#57 중층용</v>
          </cell>
          <cell r="B126" t="str">
            <v>아스콘2</v>
          </cell>
          <cell r="C126" t="str">
            <v>#57 중층용</v>
          </cell>
          <cell r="D126" t="str">
            <v>톤</v>
          </cell>
          <cell r="E126">
            <v>154</v>
          </cell>
          <cell r="F126">
            <v>28400</v>
          </cell>
          <cell r="G126">
            <v>150</v>
          </cell>
          <cell r="H126">
            <v>30400</v>
          </cell>
          <cell r="N126">
            <v>28400</v>
          </cell>
          <cell r="O126">
            <v>24140</v>
          </cell>
        </row>
        <row r="127">
          <cell r="A127" t="str">
            <v>컷아스팔트MC-1</v>
          </cell>
          <cell r="B127" t="str">
            <v>컷아스팔트</v>
          </cell>
          <cell r="C127" t="str">
            <v>MC-1</v>
          </cell>
          <cell r="D127" t="str">
            <v>D/M</v>
          </cell>
          <cell r="E127">
            <v>154</v>
          </cell>
          <cell r="F127">
            <v>58000</v>
          </cell>
          <cell r="G127">
            <v>150</v>
          </cell>
          <cell r="H127">
            <v>58000</v>
          </cell>
          <cell r="N127">
            <v>58000</v>
          </cell>
          <cell r="O127">
            <v>49300</v>
          </cell>
        </row>
        <row r="128">
          <cell r="A128" t="str">
            <v>평철밴드Φ115mm</v>
          </cell>
          <cell r="B128" t="str">
            <v>평철밴드</v>
          </cell>
          <cell r="C128" t="str">
            <v>Φ115mm</v>
          </cell>
          <cell r="D128" t="str">
            <v>개</v>
          </cell>
          <cell r="K128">
            <v>3900</v>
          </cell>
          <cell r="N128">
            <v>3900</v>
          </cell>
          <cell r="O128">
            <v>3315</v>
          </cell>
        </row>
        <row r="129">
          <cell r="A129" t="str">
            <v/>
          </cell>
          <cell r="N129">
            <v>0</v>
          </cell>
        </row>
        <row r="130">
          <cell r="A130" t="str">
            <v/>
          </cell>
          <cell r="N130">
            <v>0</v>
          </cell>
        </row>
        <row r="131">
          <cell r="A131" t="str">
            <v/>
          </cell>
          <cell r="N131">
            <v>0</v>
          </cell>
        </row>
        <row r="132">
          <cell r="A132" t="str">
            <v/>
          </cell>
          <cell r="N132">
            <v>0</v>
          </cell>
        </row>
        <row r="133">
          <cell r="A133" t="str">
            <v/>
          </cell>
          <cell r="N1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산출근거 (2)"/>
      <sheetName val="COST"/>
      <sheetName val="노임"/>
    </sheetNames>
    <sheetDataSet>
      <sheetData sheetId="0" refreshError="1"/>
      <sheetData sheetId="1" refreshError="1"/>
      <sheetData sheetId="2" refreshError="1">
        <row r="5">
          <cell r="A5" t="str">
            <v>이형철근D-10 SD30A</v>
          </cell>
          <cell r="B5" t="str">
            <v>이형철근</v>
          </cell>
          <cell r="C5" t="str">
            <v>D-10 SD30A</v>
          </cell>
          <cell r="D5" t="str">
            <v>TON</v>
          </cell>
          <cell r="E5">
            <v>43</v>
          </cell>
          <cell r="F5">
            <v>360000</v>
          </cell>
          <cell r="G5">
            <v>42</v>
          </cell>
          <cell r="H5">
            <v>375000</v>
          </cell>
          <cell r="N5">
            <v>360000</v>
          </cell>
          <cell r="O5">
            <v>306000</v>
          </cell>
        </row>
        <row r="6">
          <cell r="A6" t="str">
            <v>이형철근D-13 SD30A</v>
          </cell>
          <cell r="B6" t="str">
            <v>이형철근</v>
          </cell>
          <cell r="C6" t="str">
            <v>D-13 SD30A</v>
          </cell>
          <cell r="D6" t="str">
            <v>TON</v>
          </cell>
          <cell r="E6">
            <v>43</v>
          </cell>
          <cell r="F6">
            <v>360000</v>
          </cell>
          <cell r="G6">
            <v>42</v>
          </cell>
          <cell r="H6">
            <v>375000</v>
          </cell>
          <cell r="N6">
            <v>360000</v>
          </cell>
          <cell r="O6">
            <v>306000</v>
          </cell>
        </row>
        <row r="7">
          <cell r="A7" t="str">
            <v>ㄱ형강45x45x5T</v>
          </cell>
          <cell r="B7" t="str">
            <v>ㄱ형강</v>
          </cell>
          <cell r="C7" t="str">
            <v>45x45x5T</v>
          </cell>
          <cell r="D7" t="str">
            <v>㎏</v>
          </cell>
          <cell r="E7">
            <v>44</v>
          </cell>
          <cell r="F7">
            <v>365</v>
          </cell>
          <cell r="G7">
            <v>45</v>
          </cell>
          <cell r="H7">
            <v>378</v>
          </cell>
          <cell r="N7">
            <v>365</v>
          </cell>
          <cell r="O7">
            <v>310</v>
          </cell>
        </row>
        <row r="8">
          <cell r="A8" t="str">
            <v>ㄱ형강100x75</v>
          </cell>
          <cell r="B8" t="str">
            <v>ㄱ형강</v>
          </cell>
          <cell r="C8" t="str">
            <v>100x75</v>
          </cell>
          <cell r="D8" t="str">
            <v>㎏</v>
          </cell>
          <cell r="E8">
            <v>44</v>
          </cell>
          <cell r="F8">
            <v>370</v>
          </cell>
          <cell r="G8">
            <v>45</v>
          </cell>
          <cell r="H8">
            <v>462</v>
          </cell>
          <cell r="N8">
            <v>370</v>
          </cell>
          <cell r="O8">
            <v>314</v>
          </cell>
        </row>
        <row r="9">
          <cell r="A9" t="str">
            <v>C형찬넬60x30x10x2.3t</v>
          </cell>
          <cell r="B9" t="str">
            <v>C형찬넬</v>
          </cell>
          <cell r="C9" t="str">
            <v>60x30x10x2.3t</v>
          </cell>
          <cell r="D9" t="str">
            <v>㎏</v>
          </cell>
          <cell r="E9">
            <v>46</v>
          </cell>
          <cell r="F9">
            <v>520</v>
          </cell>
          <cell r="G9">
            <v>49</v>
          </cell>
          <cell r="H9">
            <v>430</v>
          </cell>
          <cell r="N9">
            <v>430</v>
          </cell>
          <cell r="O9">
            <v>365</v>
          </cell>
        </row>
        <row r="10">
          <cell r="A10" t="str">
            <v>열연강판6t</v>
          </cell>
          <cell r="B10" t="str">
            <v>열연강판</v>
          </cell>
          <cell r="C10" t="str">
            <v>6t</v>
          </cell>
          <cell r="D10" t="str">
            <v>㎏</v>
          </cell>
          <cell r="E10">
            <v>54</v>
          </cell>
          <cell r="F10">
            <v>497</v>
          </cell>
          <cell r="G10">
            <v>50</v>
          </cell>
          <cell r="H10">
            <v>375</v>
          </cell>
          <cell r="N10">
            <v>375</v>
          </cell>
          <cell r="O10">
            <v>318</v>
          </cell>
        </row>
        <row r="11">
          <cell r="A11" t="str">
            <v>열연강판400×400×12t</v>
          </cell>
          <cell r="B11" t="str">
            <v>열연강판</v>
          </cell>
          <cell r="C11" t="str">
            <v>400×400×12t</v>
          </cell>
          <cell r="D11" t="str">
            <v>㎏</v>
          </cell>
          <cell r="E11">
            <v>54</v>
          </cell>
          <cell r="F11">
            <v>468</v>
          </cell>
          <cell r="G11">
            <v>50</v>
          </cell>
          <cell r="H11">
            <v>410</v>
          </cell>
          <cell r="N11">
            <v>410</v>
          </cell>
          <cell r="O11">
            <v>348</v>
          </cell>
        </row>
        <row r="12">
          <cell r="A12" t="str">
            <v>용접봉Φ3.2</v>
          </cell>
          <cell r="B12" t="str">
            <v>용접봉</v>
          </cell>
          <cell r="C12" t="str">
            <v>Φ3.2</v>
          </cell>
          <cell r="D12" t="str">
            <v>㎏</v>
          </cell>
          <cell r="E12">
            <v>1063</v>
          </cell>
          <cell r="F12">
            <v>1220</v>
          </cell>
          <cell r="G12">
            <v>750</v>
          </cell>
          <cell r="H12">
            <v>1350</v>
          </cell>
          <cell r="N12">
            <v>1220</v>
          </cell>
          <cell r="O12">
            <v>1037</v>
          </cell>
        </row>
        <row r="13">
          <cell r="A13" t="str">
            <v>소철선#8</v>
          </cell>
          <cell r="B13" t="str">
            <v>소철선</v>
          </cell>
          <cell r="C13" t="str">
            <v>#8</v>
          </cell>
          <cell r="D13" t="str">
            <v>㎏</v>
          </cell>
          <cell r="E13">
            <v>67</v>
          </cell>
          <cell r="F13">
            <v>518</v>
          </cell>
          <cell r="G13">
            <v>70</v>
          </cell>
          <cell r="H13">
            <v>560</v>
          </cell>
          <cell r="N13">
            <v>518</v>
          </cell>
          <cell r="O13">
            <v>440</v>
          </cell>
        </row>
        <row r="14">
          <cell r="A14" t="str">
            <v>결속선#20</v>
          </cell>
          <cell r="B14" t="str">
            <v>결속선</v>
          </cell>
          <cell r="C14" t="str">
            <v>#20</v>
          </cell>
          <cell r="D14" t="str">
            <v>㎏</v>
          </cell>
          <cell r="E14">
            <v>67</v>
          </cell>
          <cell r="F14">
            <v>682</v>
          </cell>
          <cell r="G14">
            <v>70</v>
          </cell>
          <cell r="H14">
            <v>780</v>
          </cell>
          <cell r="N14">
            <v>682</v>
          </cell>
          <cell r="O14">
            <v>579</v>
          </cell>
        </row>
        <row r="15">
          <cell r="A15" t="str">
            <v>철못50mm</v>
          </cell>
          <cell r="B15" t="str">
            <v>철못</v>
          </cell>
          <cell r="C15" t="str">
            <v>50mm</v>
          </cell>
          <cell r="D15" t="str">
            <v>㎏</v>
          </cell>
          <cell r="E15">
            <v>70</v>
          </cell>
          <cell r="F15">
            <v>672</v>
          </cell>
          <cell r="G15">
            <v>70</v>
          </cell>
          <cell r="H15">
            <v>684</v>
          </cell>
          <cell r="N15">
            <v>672</v>
          </cell>
          <cell r="O15">
            <v>571</v>
          </cell>
        </row>
        <row r="16">
          <cell r="A16" t="str">
            <v>볼트.너트M16xL150</v>
          </cell>
          <cell r="B16" t="str">
            <v>볼트.너트</v>
          </cell>
          <cell r="C16" t="str">
            <v>M16xL150</v>
          </cell>
          <cell r="D16" t="str">
            <v>개</v>
          </cell>
          <cell r="E16">
            <v>94</v>
          </cell>
          <cell r="F16">
            <v>366</v>
          </cell>
          <cell r="G16">
            <v>76</v>
          </cell>
          <cell r="H16">
            <v>1135</v>
          </cell>
          <cell r="N16">
            <v>366</v>
          </cell>
          <cell r="O16">
            <v>311</v>
          </cell>
        </row>
        <row r="17">
          <cell r="A17" t="str">
            <v>U볼트Φ65㎜</v>
          </cell>
          <cell r="B17" t="str">
            <v>U볼트</v>
          </cell>
          <cell r="C17" t="str">
            <v>Φ65㎜</v>
          </cell>
          <cell r="D17" t="str">
            <v>개</v>
          </cell>
          <cell r="E17">
            <v>94</v>
          </cell>
          <cell r="G17">
            <v>78</v>
          </cell>
          <cell r="H17">
            <v>700</v>
          </cell>
          <cell r="N17">
            <v>700</v>
          </cell>
          <cell r="O17">
            <v>595</v>
          </cell>
        </row>
        <row r="18">
          <cell r="A18" t="str">
            <v>U볼트3/8"x8"</v>
          </cell>
          <cell r="B18" t="str">
            <v>U볼트</v>
          </cell>
          <cell r="C18" t="str">
            <v>3/8"x8"</v>
          </cell>
          <cell r="D18" t="str">
            <v>개</v>
          </cell>
          <cell r="E18">
            <v>94</v>
          </cell>
          <cell r="F18">
            <v>241</v>
          </cell>
          <cell r="G18">
            <v>78</v>
          </cell>
          <cell r="H18">
            <v>275</v>
          </cell>
          <cell r="N18">
            <v>241</v>
          </cell>
          <cell r="O18">
            <v>204</v>
          </cell>
        </row>
        <row r="19">
          <cell r="A19" t="str">
            <v>너트Φ65㎜</v>
          </cell>
          <cell r="B19" t="str">
            <v>너트</v>
          </cell>
          <cell r="C19" t="str">
            <v>Φ65㎜</v>
          </cell>
          <cell r="D19" t="str">
            <v>개</v>
          </cell>
          <cell r="E19">
            <v>98</v>
          </cell>
          <cell r="F19">
            <v>17.600000000000001</v>
          </cell>
          <cell r="G19">
            <v>79</v>
          </cell>
          <cell r="H19">
            <v>10</v>
          </cell>
          <cell r="N19">
            <v>10</v>
          </cell>
          <cell r="O19">
            <v>8</v>
          </cell>
        </row>
        <row r="20">
          <cell r="A20" t="str">
            <v>너트3/8"</v>
          </cell>
          <cell r="B20" t="str">
            <v>너트</v>
          </cell>
          <cell r="C20" t="str">
            <v>3/8"</v>
          </cell>
          <cell r="D20" t="str">
            <v>개</v>
          </cell>
          <cell r="E20">
            <v>98</v>
          </cell>
          <cell r="F20">
            <v>7.59</v>
          </cell>
          <cell r="G20">
            <v>79</v>
          </cell>
          <cell r="H20">
            <v>10.3</v>
          </cell>
          <cell r="N20">
            <v>7.59</v>
          </cell>
          <cell r="O20">
            <v>6</v>
          </cell>
        </row>
        <row r="21">
          <cell r="A21" t="str">
            <v>너트M16</v>
          </cell>
          <cell r="B21" t="str">
            <v>너트</v>
          </cell>
          <cell r="C21" t="str">
            <v>M16</v>
          </cell>
          <cell r="D21" t="str">
            <v>개</v>
          </cell>
          <cell r="E21">
            <v>98</v>
          </cell>
          <cell r="F21">
            <v>33</v>
          </cell>
          <cell r="G21">
            <v>79</v>
          </cell>
          <cell r="H21">
            <v>42</v>
          </cell>
          <cell r="N21">
            <v>33</v>
          </cell>
          <cell r="O21">
            <v>28</v>
          </cell>
        </row>
        <row r="22">
          <cell r="A22" t="str">
            <v>평와샤M16</v>
          </cell>
          <cell r="B22" t="str">
            <v>평와샤</v>
          </cell>
          <cell r="C22" t="str">
            <v>M16</v>
          </cell>
          <cell r="D22" t="str">
            <v>개</v>
          </cell>
          <cell r="E22">
            <v>99</v>
          </cell>
          <cell r="F22">
            <v>9.9</v>
          </cell>
          <cell r="G22">
            <v>80</v>
          </cell>
          <cell r="H22">
            <v>27</v>
          </cell>
          <cell r="N22">
            <v>9.9</v>
          </cell>
          <cell r="O22">
            <v>8</v>
          </cell>
        </row>
        <row r="23">
          <cell r="A23" t="str">
            <v>앙카볼트(3/8")M10xL150</v>
          </cell>
          <cell r="B23" t="str">
            <v>앙카볼트</v>
          </cell>
          <cell r="C23" t="str">
            <v>(3/8")M10xL150</v>
          </cell>
          <cell r="D23" t="str">
            <v>개</v>
          </cell>
          <cell r="E23">
            <v>96</v>
          </cell>
          <cell r="F23">
            <v>59</v>
          </cell>
          <cell r="G23">
            <v>76</v>
          </cell>
          <cell r="H23">
            <v>95</v>
          </cell>
          <cell r="N23">
            <v>59</v>
          </cell>
          <cell r="O23">
            <v>50</v>
          </cell>
        </row>
        <row r="24">
          <cell r="A24" t="str">
            <v>앙카볼트(5/8")M16xL250</v>
          </cell>
          <cell r="B24" t="str">
            <v>앙카볼트</v>
          </cell>
          <cell r="C24" t="str">
            <v>(5/8")M16xL250</v>
          </cell>
          <cell r="D24" t="str">
            <v>개</v>
          </cell>
          <cell r="E24">
            <v>97</v>
          </cell>
          <cell r="F24">
            <v>180</v>
          </cell>
          <cell r="G24">
            <v>77</v>
          </cell>
          <cell r="H24">
            <v>300</v>
          </cell>
          <cell r="N24">
            <v>180</v>
          </cell>
          <cell r="O24">
            <v>153</v>
          </cell>
        </row>
        <row r="25">
          <cell r="A25" t="str">
            <v>앙카볼트(7/8")M22xL250</v>
          </cell>
          <cell r="B25" t="str">
            <v>앙카볼트</v>
          </cell>
          <cell r="C25" t="str">
            <v>(7/8")M22xL250</v>
          </cell>
          <cell r="D25" t="str">
            <v>개</v>
          </cell>
          <cell r="E25">
            <v>97</v>
          </cell>
          <cell r="F25">
            <v>2850</v>
          </cell>
          <cell r="G25">
            <v>76</v>
          </cell>
          <cell r="H25">
            <v>570</v>
          </cell>
          <cell r="N25">
            <v>570</v>
          </cell>
          <cell r="O25">
            <v>484</v>
          </cell>
        </row>
        <row r="26">
          <cell r="A26" t="str">
            <v>달대볼트M12x1000</v>
          </cell>
          <cell r="B26" t="str">
            <v>달대볼트</v>
          </cell>
          <cell r="C26" t="str">
            <v>M12x1000</v>
          </cell>
          <cell r="D26" t="str">
            <v>개</v>
          </cell>
          <cell r="E26">
            <v>93</v>
          </cell>
          <cell r="F26">
            <v>410</v>
          </cell>
          <cell r="G26">
            <v>78</v>
          </cell>
          <cell r="H26">
            <v>654</v>
          </cell>
          <cell r="N26">
            <v>410</v>
          </cell>
          <cell r="O26">
            <v>348</v>
          </cell>
        </row>
        <row r="27">
          <cell r="A27" t="str">
            <v>셋트앙카3/8"x75</v>
          </cell>
          <cell r="B27" t="str">
            <v>셋트앙카</v>
          </cell>
          <cell r="C27" t="str">
            <v>3/8"x75</v>
          </cell>
          <cell r="D27" t="str">
            <v>개</v>
          </cell>
          <cell r="E27">
            <v>97</v>
          </cell>
          <cell r="G27">
            <v>77</v>
          </cell>
          <cell r="H27">
            <v>280</v>
          </cell>
          <cell r="N27">
            <v>280</v>
          </cell>
          <cell r="O27">
            <v>238</v>
          </cell>
        </row>
        <row r="28">
          <cell r="A28" t="str">
            <v>각재3.6×3.6×3.6(외송)</v>
          </cell>
          <cell r="B28" t="str">
            <v>각재</v>
          </cell>
          <cell r="C28" t="str">
            <v>3.6×3.6×3.6(외송)</v>
          </cell>
          <cell r="D28" t="str">
            <v>재</v>
          </cell>
          <cell r="E28">
            <v>139</v>
          </cell>
          <cell r="F28">
            <v>1200</v>
          </cell>
          <cell r="G28">
            <v>106</v>
          </cell>
          <cell r="H28">
            <v>1100</v>
          </cell>
          <cell r="N28">
            <v>1100</v>
          </cell>
          <cell r="O28" t="str">
            <v xml:space="preserve"> </v>
          </cell>
        </row>
        <row r="29">
          <cell r="A29" t="str">
            <v>각재외송</v>
          </cell>
          <cell r="B29" t="str">
            <v>각재</v>
          </cell>
          <cell r="C29" t="str">
            <v>외송</v>
          </cell>
          <cell r="D29" t="str">
            <v>㎥</v>
          </cell>
          <cell r="E29">
            <v>139</v>
          </cell>
          <cell r="F29">
            <v>269461</v>
          </cell>
          <cell r="G29">
            <v>106</v>
          </cell>
          <cell r="H29">
            <v>224550</v>
          </cell>
          <cell r="N29">
            <v>224550</v>
          </cell>
          <cell r="O29">
            <v>190867</v>
          </cell>
        </row>
        <row r="30">
          <cell r="A30" t="str">
            <v>보통합판12x1210x2420</v>
          </cell>
          <cell r="B30" t="str">
            <v>보통합판</v>
          </cell>
          <cell r="C30" t="str">
            <v>12x1210x2420</v>
          </cell>
          <cell r="D30" t="str">
            <v>매</v>
          </cell>
          <cell r="E30">
            <v>449</v>
          </cell>
          <cell r="F30">
            <v>17000</v>
          </cell>
          <cell r="G30">
            <v>353</v>
          </cell>
          <cell r="H30">
            <v>17800</v>
          </cell>
          <cell r="N30">
            <v>17000</v>
          </cell>
          <cell r="O30" t="str">
            <v xml:space="preserve"> </v>
          </cell>
        </row>
        <row r="31">
          <cell r="A31" t="str">
            <v>아세틸렌98%</v>
          </cell>
          <cell r="B31" t="str">
            <v>아세틸렌</v>
          </cell>
          <cell r="C31" t="str">
            <v>98%</v>
          </cell>
          <cell r="D31" t="str">
            <v>㎏</v>
          </cell>
          <cell r="E31">
            <v>1143</v>
          </cell>
          <cell r="F31">
            <v>6000</v>
          </cell>
          <cell r="G31">
            <v>1026</v>
          </cell>
          <cell r="H31">
            <v>8000</v>
          </cell>
          <cell r="N31">
            <v>6000</v>
          </cell>
          <cell r="O31" t="str">
            <v xml:space="preserve"> </v>
          </cell>
        </row>
        <row r="32">
          <cell r="A32" t="str">
            <v>산소99%</v>
          </cell>
          <cell r="B32" t="str">
            <v>산소</v>
          </cell>
          <cell r="C32" t="str">
            <v>99%</v>
          </cell>
          <cell r="D32" t="str">
            <v>ℓ</v>
          </cell>
          <cell r="E32">
            <v>1143</v>
          </cell>
          <cell r="F32">
            <v>137</v>
          </cell>
          <cell r="G32">
            <v>1026</v>
          </cell>
          <cell r="H32">
            <v>225</v>
          </cell>
          <cell r="N32">
            <v>137</v>
          </cell>
          <cell r="O32" t="str">
            <v xml:space="preserve"> </v>
          </cell>
        </row>
        <row r="33">
          <cell r="A33" t="str">
            <v>박리제유성</v>
          </cell>
          <cell r="B33" t="str">
            <v>박리제</v>
          </cell>
          <cell r="C33" t="str">
            <v>유성</v>
          </cell>
          <cell r="D33" t="str">
            <v>ℓ</v>
          </cell>
          <cell r="E33">
            <v>147</v>
          </cell>
          <cell r="F33">
            <v>1250</v>
          </cell>
          <cell r="G33">
            <v>111</v>
          </cell>
          <cell r="H33">
            <v>1250</v>
          </cell>
          <cell r="N33">
            <v>1250</v>
          </cell>
          <cell r="O33">
            <v>1062</v>
          </cell>
        </row>
        <row r="34">
          <cell r="A34" t="str">
            <v>조합페인트황색</v>
          </cell>
          <cell r="B34" t="str">
            <v>조합페인트</v>
          </cell>
          <cell r="C34" t="str">
            <v>황색</v>
          </cell>
          <cell r="D34" t="str">
            <v>ℓ</v>
          </cell>
          <cell r="E34">
            <v>400</v>
          </cell>
          <cell r="F34">
            <v>3525</v>
          </cell>
          <cell r="G34">
            <v>276</v>
          </cell>
          <cell r="H34">
            <v>4382</v>
          </cell>
          <cell r="N34">
            <v>3525</v>
          </cell>
          <cell r="O34">
            <v>2996</v>
          </cell>
        </row>
        <row r="35">
          <cell r="A35" t="str">
            <v>모래세사</v>
          </cell>
          <cell r="B35" t="str">
            <v>모래</v>
          </cell>
          <cell r="C35" t="str">
            <v>세사</v>
          </cell>
          <cell r="D35" t="str">
            <v>㎥</v>
          </cell>
          <cell r="E35">
            <v>111</v>
          </cell>
          <cell r="F35">
            <v>12500</v>
          </cell>
          <cell r="G35">
            <v>95</v>
          </cell>
          <cell r="H35">
            <v>10000</v>
          </cell>
          <cell r="N35">
            <v>10000</v>
          </cell>
          <cell r="O35">
            <v>8500</v>
          </cell>
        </row>
        <row r="36">
          <cell r="A36" t="str">
            <v>자갈#57</v>
          </cell>
          <cell r="B36" t="str">
            <v>자갈</v>
          </cell>
          <cell r="C36" t="str">
            <v>#57</v>
          </cell>
          <cell r="D36" t="str">
            <v>㎥</v>
          </cell>
          <cell r="E36">
            <v>111</v>
          </cell>
          <cell r="F36">
            <v>13500</v>
          </cell>
          <cell r="G36">
            <v>95</v>
          </cell>
          <cell r="H36">
            <v>6000</v>
          </cell>
          <cell r="N36">
            <v>6000</v>
          </cell>
          <cell r="O36">
            <v>5100</v>
          </cell>
        </row>
        <row r="37">
          <cell r="A37" t="str">
            <v>자갈#467(40mm)</v>
          </cell>
          <cell r="B37" t="str">
            <v>자갈</v>
          </cell>
          <cell r="C37" t="str">
            <v>#467(40mm)</v>
          </cell>
          <cell r="D37" t="str">
            <v>㎥</v>
          </cell>
          <cell r="E37">
            <v>111</v>
          </cell>
          <cell r="F37">
            <v>13500</v>
          </cell>
          <cell r="G37">
            <v>95</v>
          </cell>
          <cell r="H37">
            <v>6000</v>
          </cell>
          <cell r="N37">
            <v>6000</v>
          </cell>
          <cell r="O37">
            <v>5100</v>
          </cell>
        </row>
        <row r="38">
          <cell r="A38" t="str">
            <v>시멘트40㎏</v>
          </cell>
          <cell r="B38" t="str">
            <v>시멘트</v>
          </cell>
          <cell r="C38" t="str">
            <v>40㎏</v>
          </cell>
          <cell r="D38" t="str">
            <v>포</v>
          </cell>
          <cell r="E38">
            <v>113</v>
          </cell>
          <cell r="F38">
            <v>2750</v>
          </cell>
          <cell r="G38">
            <v>97</v>
          </cell>
          <cell r="H38">
            <v>2700</v>
          </cell>
          <cell r="N38">
            <v>2700</v>
          </cell>
          <cell r="O38">
            <v>2295</v>
          </cell>
        </row>
        <row r="39">
          <cell r="A39" t="str">
            <v>통신용멘홀수공철개</v>
          </cell>
          <cell r="B39" t="str">
            <v>통신용멘홀</v>
          </cell>
          <cell r="C39" t="str">
            <v>수공철개</v>
          </cell>
          <cell r="D39" t="str">
            <v>조</v>
          </cell>
          <cell r="E39">
            <v>172</v>
          </cell>
          <cell r="F39">
            <v>261000</v>
          </cell>
          <cell r="G39">
            <v>160</v>
          </cell>
          <cell r="H39">
            <v>330000</v>
          </cell>
          <cell r="N39">
            <v>261000</v>
          </cell>
          <cell r="O39">
            <v>221850</v>
          </cell>
        </row>
        <row r="40">
          <cell r="A40" t="str">
            <v>백관Φ50</v>
          </cell>
          <cell r="B40" t="str">
            <v>백관</v>
          </cell>
          <cell r="C40" t="str">
            <v>Φ50</v>
          </cell>
          <cell r="D40" t="str">
            <v>m</v>
          </cell>
          <cell r="E40">
            <v>475</v>
          </cell>
          <cell r="F40">
            <v>3555</v>
          </cell>
          <cell r="G40">
            <v>426</v>
          </cell>
          <cell r="H40">
            <v>3538</v>
          </cell>
          <cell r="N40">
            <v>3538</v>
          </cell>
          <cell r="O40">
            <v>3007</v>
          </cell>
        </row>
        <row r="41">
          <cell r="A41" t="str">
            <v>광명단0</v>
          </cell>
          <cell r="B41" t="str">
            <v>광명단</v>
          </cell>
          <cell r="C41">
            <v>0</v>
          </cell>
          <cell r="D41" t="str">
            <v>ℓ</v>
          </cell>
          <cell r="E41">
            <v>399</v>
          </cell>
          <cell r="F41">
            <v>3205</v>
          </cell>
          <cell r="G41">
            <v>278</v>
          </cell>
          <cell r="H41">
            <v>3700</v>
          </cell>
          <cell r="N41">
            <v>3205</v>
          </cell>
          <cell r="O41">
            <v>2724</v>
          </cell>
        </row>
        <row r="42">
          <cell r="A42" t="str">
            <v>전원케이블CV 2Cx22㎟</v>
          </cell>
          <cell r="B42" t="str">
            <v>전원케이블</v>
          </cell>
          <cell r="C42" t="str">
            <v>CV 2Cx22㎟</v>
          </cell>
          <cell r="D42" t="str">
            <v>m</v>
          </cell>
          <cell r="E42">
            <v>798</v>
          </cell>
          <cell r="F42">
            <v>2520</v>
          </cell>
          <cell r="G42">
            <v>851</v>
          </cell>
          <cell r="H42">
            <v>2400</v>
          </cell>
          <cell r="N42">
            <v>2400</v>
          </cell>
          <cell r="O42">
            <v>2040</v>
          </cell>
        </row>
        <row r="43">
          <cell r="A43" t="str">
            <v>접지용전선GV 22㎟</v>
          </cell>
          <cell r="B43" t="str">
            <v>접지용전선</v>
          </cell>
          <cell r="C43" t="str">
            <v>GV 22㎟</v>
          </cell>
          <cell r="D43" t="str">
            <v>m</v>
          </cell>
          <cell r="E43">
            <v>795</v>
          </cell>
          <cell r="F43">
            <v>1348</v>
          </cell>
          <cell r="G43">
            <v>844</v>
          </cell>
          <cell r="H43">
            <v>1455</v>
          </cell>
          <cell r="N43">
            <v>1348</v>
          </cell>
          <cell r="O43">
            <v>1145</v>
          </cell>
        </row>
        <row r="44">
          <cell r="A44" t="str">
            <v>접지용전선GV 38㎟</v>
          </cell>
          <cell r="B44" t="str">
            <v>접지용전선</v>
          </cell>
          <cell r="C44" t="str">
            <v>GV 38㎟</v>
          </cell>
          <cell r="D44" t="str">
            <v>m</v>
          </cell>
          <cell r="E44">
            <v>795</v>
          </cell>
          <cell r="F44">
            <v>2032</v>
          </cell>
          <cell r="G44">
            <v>844</v>
          </cell>
          <cell r="H44">
            <v>2192</v>
          </cell>
          <cell r="N44">
            <v>2032</v>
          </cell>
          <cell r="O44">
            <v>1727</v>
          </cell>
        </row>
        <row r="45">
          <cell r="A45" t="str">
            <v>시내쌍케이블CPEV 0.9x15P</v>
          </cell>
          <cell r="B45" t="str">
            <v>시내쌍케이블</v>
          </cell>
          <cell r="C45" t="str">
            <v>CPEV 0.9x15P</v>
          </cell>
          <cell r="D45" t="str">
            <v>m</v>
          </cell>
          <cell r="E45">
            <v>810</v>
          </cell>
          <cell r="F45">
            <v>1701</v>
          </cell>
          <cell r="G45">
            <v>853</v>
          </cell>
          <cell r="H45">
            <v>1830</v>
          </cell>
          <cell r="N45">
            <v>1701</v>
          </cell>
          <cell r="O45">
            <v>1445</v>
          </cell>
        </row>
        <row r="46">
          <cell r="A46" t="str">
            <v>시내쌍케이블CPEV 0.65x100P</v>
          </cell>
          <cell r="B46" t="str">
            <v>시내쌍케이블</v>
          </cell>
          <cell r="C46" t="str">
            <v>CPEV 0.65x100P</v>
          </cell>
          <cell r="D46" t="str">
            <v>m</v>
          </cell>
          <cell r="E46">
            <v>810</v>
          </cell>
          <cell r="F46">
            <v>4238</v>
          </cell>
          <cell r="G46">
            <v>853</v>
          </cell>
          <cell r="H46">
            <v>4561</v>
          </cell>
          <cell r="N46">
            <v>4238</v>
          </cell>
          <cell r="O46">
            <v>3602</v>
          </cell>
        </row>
        <row r="47">
          <cell r="A47" t="str">
            <v>급전용 동축케이블RG-8U</v>
          </cell>
          <cell r="B47" t="str">
            <v>급전용 동축케이블</v>
          </cell>
          <cell r="C47" t="str">
            <v>RG-8U</v>
          </cell>
          <cell r="D47" t="str">
            <v>m</v>
          </cell>
          <cell r="G47">
            <v>965</v>
          </cell>
          <cell r="H47">
            <v>5000</v>
          </cell>
          <cell r="N47">
            <v>5000</v>
          </cell>
          <cell r="O47">
            <v>4250</v>
          </cell>
        </row>
        <row r="48">
          <cell r="A48" t="str">
            <v>제어케이블CVV 4C-5.5㎟</v>
          </cell>
          <cell r="B48" t="str">
            <v>제어케이블</v>
          </cell>
          <cell r="C48" t="str">
            <v>CVV 4C-5.5㎟</v>
          </cell>
          <cell r="D48" t="str">
            <v>m</v>
          </cell>
          <cell r="E48">
            <v>797</v>
          </cell>
          <cell r="F48">
            <v>1745</v>
          </cell>
          <cell r="G48">
            <v>845</v>
          </cell>
          <cell r="H48">
            <v>1281</v>
          </cell>
          <cell r="N48">
            <v>1281</v>
          </cell>
          <cell r="O48">
            <v>1088</v>
          </cell>
        </row>
        <row r="49">
          <cell r="A49" t="str">
            <v>후강전선관아연도Φ16mm</v>
          </cell>
          <cell r="B49" t="str">
            <v>후강전선관</v>
          </cell>
          <cell r="C49" t="str">
            <v>아연도Φ16mm</v>
          </cell>
          <cell r="D49" t="str">
            <v>m</v>
          </cell>
          <cell r="E49">
            <v>820</v>
          </cell>
          <cell r="F49">
            <v>971</v>
          </cell>
          <cell r="G49">
            <v>866</v>
          </cell>
          <cell r="H49">
            <v>1022</v>
          </cell>
          <cell r="N49">
            <v>971</v>
          </cell>
          <cell r="O49">
            <v>825</v>
          </cell>
        </row>
        <row r="50">
          <cell r="A50" t="str">
            <v>후강전선관아연도Φ22mm</v>
          </cell>
          <cell r="B50" t="str">
            <v>후강전선관</v>
          </cell>
          <cell r="C50" t="str">
            <v>아연도Φ22mm</v>
          </cell>
          <cell r="D50" t="str">
            <v>m</v>
          </cell>
          <cell r="E50">
            <v>820</v>
          </cell>
          <cell r="F50">
            <v>1247</v>
          </cell>
          <cell r="G50">
            <v>866</v>
          </cell>
          <cell r="H50">
            <v>1309</v>
          </cell>
          <cell r="N50">
            <v>1247</v>
          </cell>
          <cell r="O50">
            <v>1059</v>
          </cell>
        </row>
        <row r="51">
          <cell r="A51" t="str">
            <v>후강전선관아연도Φ28mm</v>
          </cell>
          <cell r="B51" t="str">
            <v>후강전선관</v>
          </cell>
          <cell r="C51" t="str">
            <v>아연도Φ28mm</v>
          </cell>
          <cell r="D51" t="str">
            <v>m</v>
          </cell>
          <cell r="E51">
            <v>820</v>
          </cell>
          <cell r="F51">
            <v>1628</v>
          </cell>
          <cell r="G51">
            <v>866</v>
          </cell>
          <cell r="H51">
            <v>1709</v>
          </cell>
          <cell r="N51">
            <v>1628</v>
          </cell>
          <cell r="O51">
            <v>1383</v>
          </cell>
        </row>
        <row r="52">
          <cell r="A52" t="str">
            <v>후강전선관아연도Φ36mm</v>
          </cell>
          <cell r="B52" t="str">
            <v>후강전선관</v>
          </cell>
          <cell r="C52" t="str">
            <v>아연도Φ36mm</v>
          </cell>
          <cell r="D52" t="str">
            <v>m</v>
          </cell>
          <cell r="E52">
            <v>820</v>
          </cell>
          <cell r="F52">
            <v>1998</v>
          </cell>
          <cell r="G52">
            <v>866</v>
          </cell>
          <cell r="H52">
            <v>2097</v>
          </cell>
          <cell r="N52">
            <v>1998</v>
          </cell>
          <cell r="O52">
            <v>1698</v>
          </cell>
        </row>
        <row r="53">
          <cell r="A53" t="str">
            <v>후강전선관아연도Φ42mm</v>
          </cell>
          <cell r="B53" t="str">
            <v>후강전선관</v>
          </cell>
          <cell r="C53" t="str">
            <v>아연도Φ42mm</v>
          </cell>
          <cell r="D53" t="str">
            <v>m</v>
          </cell>
          <cell r="E53">
            <v>820</v>
          </cell>
          <cell r="F53">
            <v>2317</v>
          </cell>
          <cell r="G53">
            <v>866</v>
          </cell>
          <cell r="H53">
            <v>2431</v>
          </cell>
          <cell r="N53">
            <v>2317</v>
          </cell>
          <cell r="O53">
            <v>1969</v>
          </cell>
        </row>
        <row r="54">
          <cell r="A54" t="str">
            <v>후강전선관아연도Φ54mm</v>
          </cell>
          <cell r="B54" t="str">
            <v>후강전선관</v>
          </cell>
          <cell r="C54" t="str">
            <v>아연도Φ54mm</v>
          </cell>
          <cell r="D54" t="str">
            <v>m</v>
          </cell>
          <cell r="E54">
            <v>820</v>
          </cell>
          <cell r="F54">
            <v>3230</v>
          </cell>
          <cell r="G54">
            <v>866</v>
          </cell>
          <cell r="H54">
            <v>3390</v>
          </cell>
          <cell r="N54">
            <v>3230</v>
          </cell>
          <cell r="O54">
            <v>2745</v>
          </cell>
        </row>
        <row r="55">
          <cell r="A55" t="str">
            <v>후강전선관아연도Φ70mm</v>
          </cell>
          <cell r="B55" t="str">
            <v>후강전선관</v>
          </cell>
          <cell r="C55" t="str">
            <v>아연도Φ70mm</v>
          </cell>
          <cell r="D55" t="str">
            <v>m</v>
          </cell>
          <cell r="E55">
            <v>820</v>
          </cell>
          <cell r="F55">
            <v>4106</v>
          </cell>
          <cell r="G55">
            <v>866</v>
          </cell>
          <cell r="H55">
            <v>4313</v>
          </cell>
          <cell r="N55">
            <v>4106</v>
          </cell>
          <cell r="O55">
            <v>3490</v>
          </cell>
        </row>
        <row r="56">
          <cell r="A56" t="str">
            <v>후렉시블전선관16C</v>
          </cell>
          <cell r="B56" t="str">
            <v>후렉시블전선관</v>
          </cell>
          <cell r="C56" t="str">
            <v>16C</v>
          </cell>
          <cell r="D56" t="str">
            <v>m</v>
          </cell>
          <cell r="E56">
            <v>823</v>
          </cell>
          <cell r="F56">
            <v>1700</v>
          </cell>
          <cell r="G56">
            <v>869</v>
          </cell>
          <cell r="H56">
            <v>2000</v>
          </cell>
          <cell r="N56">
            <v>1700</v>
          </cell>
          <cell r="O56">
            <v>1445</v>
          </cell>
        </row>
        <row r="57">
          <cell r="A57" t="str">
            <v>후렉시블전선관22C</v>
          </cell>
          <cell r="B57" t="str">
            <v>후렉시블전선관</v>
          </cell>
          <cell r="C57" t="str">
            <v>22C</v>
          </cell>
          <cell r="D57" t="str">
            <v>m</v>
          </cell>
          <cell r="E57">
            <v>823</v>
          </cell>
          <cell r="F57">
            <v>2240</v>
          </cell>
          <cell r="G57">
            <v>869</v>
          </cell>
          <cell r="H57">
            <v>2640</v>
          </cell>
          <cell r="N57">
            <v>2240</v>
          </cell>
          <cell r="O57">
            <v>1904</v>
          </cell>
        </row>
        <row r="58">
          <cell r="A58" t="str">
            <v>후렉시블전선관36C</v>
          </cell>
          <cell r="B58" t="str">
            <v>후렉시블전선관</v>
          </cell>
          <cell r="C58" t="str">
            <v>36C</v>
          </cell>
          <cell r="D58" t="str">
            <v>m</v>
          </cell>
          <cell r="E58">
            <v>823</v>
          </cell>
          <cell r="F58">
            <v>4040</v>
          </cell>
          <cell r="G58">
            <v>869</v>
          </cell>
          <cell r="H58">
            <v>4710</v>
          </cell>
          <cell r="N58">
            <v>4040</v>
          </cell>
          <cell r="O58">
            <v>3434</v>
          </cell>
        </row>
        <row r="59">
          <cell r="A59" t="str">
            <v>경질비닐전선관HI Φ22mm</v>
          </cell>
          <cell r="B59" t="str">
            <v>경질비닐전선관</v>
          </cell>
          <cell r="C59" t="str">
            <v>HI Φ22mm</v>
          </cell>
          <cell r="D59" t="str">
            <v>m</v>
          </cell>
          <cell r="E59">
            <v>823</v>
          </cell>
          <cell r="F59">
            <v>499</v>
          </cell>
          <cell r="G59">
            <v>866</v>
          </cell>
          <cell r="H59">
            <v>357</v>
          </cell>
          <cell r="N59">
            <v>357</v>
          </cell>
          <cell r="O59">
            <v>303</v>
          </cell>
        </row>
        <row r="60">
          <cell r="A60" t="str">
            <v>경질비닐전선관HI Φ28mm</v>
          </cell>
          <cell r="B60" t="str">
            <v>경질비닐전선관</v>
          </cell>
          <cell r="C60" t="str">
            <v>HI Φ28mm</v>
          </cell>
          <cell r="D60" t="str">
            <v>m</v>
          </cell>
          <cell r="E60">
            <v>823</v>
          </cell>
          <cell r="F60">
            <v>842</v>
          </cell>
          <cell r="G60">
            <v>866</v>
          </cell>
          <cell r="H60">
            <v>697</v>
          </cell>
          <cell r="N60">
            <v>697</v>
          </cell>
          <cell r="O60">
            <v>592</v>
          </cell>
        </row>
        <row r="61">
          <cell r="A61" t="str">
            <v>경질비닐전선관HI Φ36mm</v>
          </cell>
          <cell r="B61" t="str">
            <v>경질비닐전선관</v>
          </cell>
          <cell r="C61" t="str">
            <v>HI Φ36mm</v>
          </cell>
          <cell r="D61" t="str">
            <v>m</v>
          </cell>
          <cell r="E61">
            <v>824</v>
          </cell>
          <cell r="F61">
            <v>1075</v>
          </cell>
          <cell r="G61">
            <v>866</v>
          </cell>
          <cell r="H61">
            <v>975</v>
          </cell>
          <cell r="N61">
            <v>975</v>
          </cell>
          <cell r="O61">
            <v>828</v>
          </cell>
        </row>
        <row r="62">
          <cell r="A62" t="str">
            <v>경질비닐전선관HI Φ42mm</v>
          </cell>
          <cell r="B62" t="str">
            <v>경질비닐전선관</v>
          </cell>
          <cell r="C62" t="str">
            <v>HI Φ42mm</v>
          </cell>
          <cell r="D62" t="str">
            <v>m</v>
          </cell>
          <cell r="E62">
            <v>824</v>
          </cell>
          <cell r="F62">
            <v>1403</v>
          </cell>
          <cell r="G62">
            <v>866</v>
          </cell>
          <cell r="H62">
            <v>1278</v>
          </cell>
          <cell r="N62">
            <v>1278</v>
          </cell>
          <cell r="O62">
            <v>1086</v>
          </cell>
        </row>
        <row r="63">
          <cell r="A63" t="str">
            <v>경질비닐전선관HI Φ54mm</v>
          </cell>
          <cell r="B63" t="str">
            <v>경질비닐전선관</v>
          </cell>
          <cell r="C63" t="str">
            <v>HI Φ54mm</v>
          </cell>
          <cell r="D63" t="str">
            <v>m</v>
          </cell>
          <cell r="E63">
            <v>824</v>
          </cell>
          <cell r="F63">
            <v>1990</v>
          </cell>
          <cell r="G63">
            <v>866</v>
          </cell>
          <cell r="H63">
            <v>1813</v>
          </cell>
          <cell r="N63">
            <v>1813</v>
          </cell>
          <cell r="O63">
            <v>1541</v>
          </cell>
        </row>
        <row r="64">
          <cell r="A64" t="str">
            <v>경질비닐전선관HI Φ82mm</v>
          </cell>
          <cell r="B64" t="str">
            <v>경질비닐전선관</v>
          </cell>
          <cell r="C64" t="str">
            <v>HI Φ82mm</v>
          </cell>
          <cell r="D64" t="str">
            <v>m</v>
          </cell>
          <cell r="E64">
            <v>824</v>
          </cell>
          <cell r="F64">
            <v>3846</v>
          </cell>
          <cell r="G64">
            <v>866</v>
          </cell>
          <cell r="H64">
            <v>3558</v>
          </cell>
          <cell r="N64">
            <v>3558</v>
          </cell>
          <cell r="O64">
            <v>3024</v>
          </cell>
        </row>
        <row r="65">
          <cell r="A65" t="str">
            <v>경질비닐전선관HI Φ100mm</v>
          </cell>
          <cell r="B65" t="str">
            <v>경질비닐전선관</v>
          </cell>
          <cell r="C65" t="str">
            <v>HI Φ100mm</v>
          </cell>
          <cell r="D65" t="str">
            <v>m</v>
          </cell>
          <cell r="E65">
            <v>824</v>
          </cell>
          <cell r="F65">
            <v>4627</v>
          </cell>
          <cell r="G65">
            <v>866</v>
          </cell>
          <cell r="H65">
            <v>4214</v>
          </cell>
          <cell r="N65">
            <v>4214</v>
          </cell>
          <cell r="O65">
            <v>3581</v>
          </cell>
        </row>
        <row r="66">
          <cell r="A66" t="str">
            <v>FC관Φ100mm</v>
          </cell>
          <cell r="B66" t="str">
            <v>FC관</v>
          </cell>
          <cell r="C66" t="str">
            <v>Φ100mm</v>
          </cell>
          <cell r="D66" t="str">
            <v>m</v>
          </cell>
          <cell r="E66">
            <v>825</v>
          </cell>
          <cell r="F66">
            <v>4525</v>
          </cell>
          <cell r="G66">
            <v>866</v>
          </cell>
          <cell r="H66">
            <v>3630</v>
          </cell>
          <cell r="N66">
            <v>3630</v>
          </cell>
          <cell r="O66">
            <v>3085</v>
          </cell>
        </row>
        <row r="67">
          <cell r="A67" t="str">
            <v>PE전선관Φ28mm</v>
          </cell>
          <cell r="B67" t="str">
            <v>PE전선관</v>
          </cell>
          <cell r="C67" t="str">
            <v>Φ28mm</v>
          </cell>
          <cell r="D67" t="str">
            <v>m</v>
          </cell>
          <cell r="E67">
            <v>824</v>
          </cell>
          <cell r="F67">
            <v>470</v>
          </cell>
          <cell r="G67">
            <v>867</v>
          </cell>
          <cell r="H67">
            <v>488</v>
          </cell>
          <cell r="N67">
            <v>470</v>
          </cell>
          <cell r="O67">
            <v>399</v>
          </cell>
        </row>
        <row r="68">
          <cell r="A68" t="str">
            <v>PE전선관Φ36mm</v>
          </cell>
          <cell r="B68" t="str">
            <v>PE전선관</v>
          </cell>
          <cell r="C68" t="str">
            <v>Φ36mm</v>
          </cell>
          <cell r="D68" t="str">
            <v>m</v>
          </cell>
          <cell r="E68">
            <v>824</v>
          </cell>
          <cell r="F68">
            <v>700</v>
          </cell>
          <cell r="G68">
            <v>867</v>
          </cell>
          <cell r="H68">
            <v>728</v>
          </cell>
          <cell r="N68">
            <v>700</v>
          </cell>
          <cell r="O68">
            <v>595</v>
          </cell>
        </row>
        <row r="69">
          <cell r="A69" t="str">
            <v>도관전선관115mm</v>
          </cell>
          <cell r="B69" t="str">
            <v>도관전선관</v>
          </cell>
          <cell r="C69" t="str">
            <v>115mm</v>
          </cell>
          <cell r="D69" t="str">
            <v>m</v>
          </cell>
          <cell r="K69">
            <v>10330</v>
          </cell>
          <cell r="L69">
            <v>10850</v>
          </cell>
          <cell r="M69">
            <v>11050</v>
          </cell>
          <cell r="N69">
            <v>10330</v>
          </cell>
          <cell r="O69">
            <v>8780</v>
          </cell>
        </row>
        <row r="70">
          <cell r="A70" t="str">
            <v>밴드115mm</v>
          </cell>
          <cell r="B70" t="str">
            <v>밴드</v>
          </cell>
          <cell r="C70" t="str">
            <v>115mm</v>
          </cell>
          <cell r="D70" t="str">
            <v>m</v>
          </cell>
          <cell r="K70">
            <v>727</v>
          </cell>
          <cell r="N70">
            <v>727</v>
          </cell>
          <cell r="O70">
            <v>617</v>
          </cell>
        </row>
        <row r="71">
          <cell r="A71" t="str">
            <v>노말밴드Φ115mm</v>
          </cell>
          <cell r="B71" t="str">
            <v>노말밴드</v>
          </cell>
          <cell r="C71" t="str">
            <v>Φ115mm</v>
          </cell>
          <cell r="D71" t="str">
            <v>m</v>
          </cell>
          <cell r="K71">
            <v>6000</v>
          </cell>
          <cell r="N71">
            <v>6000</v>
          </cell>
          <cell r="O71">
            <v>5100</v>
          </cell>
        </row>
        <row r="72">
          <cell r="A72" t="str">
            <v>노말밴드HI Φ28mm</v>
          </cell>
          <cell r="B72" t="str">
            <v>노말밴드</v>
          </cell>
          <cell r="C72" t="str">
            <v>HI Φ28mm</v>
          </cell>
          <cell r="D72" t="str">
            <v>m</v>
          </cell>
          <cell r="E72">
            <v>824</v>
          </cell>
          <cell r="F72">
            <v>960</v>
          </cell>
          <cell r="G72">
            <v>874</v>
          </cell>
          <cell r="H72">
            <v>810</v>
          </cell>
          <cell r="N72">
            <v>810</v>
          </cell>
          <cell r="O72">
            <v>688</v>
          </cell>
        </row>
        <row r="73">
          <cell r="A73" t="str">
            <v>노말밴드HI Φ36mm</v>
          </cell>
          <cell r="B73" t="str">
            <v>노말밴드</v>
          </cell>
          <cell r="C73" t="str">
            <v>HI Φ36mm</v>
          </cell>
          <cell r="D73" t="str">
            <v>m</v>
          </cell>
          <cell r="E73">
            <v>824</v>
          </cell>
          <cell r="F73">
            <v>1080</v>
          </cell>
          <cell r="G73">
            <v>874</v>
          </cell>
          <cell r="H73">
            <v>1119</v>
          </cell>
          <cell r="N73">
            <v>1080</v>
          </cell>
          <cell r="O73">
            <v>918</v>
          </cell>
        </row>
        <row r="74">
          <cell r="A74" t="str">
            <v>노말밴드HI Φ42mm</v>
          </cell>
          <cell r="B74" t="str">
            <v>노말밴드</v>
          </cell>
          <cell r="C74" t="str">
            <v>HI Φ42mm</v>
          </cell>
          <cell r="D74" t="str">
            <v>m</v>
          </cell>
          <cell r="E74">
            <v>824</v>
          </cell>
          <cell r="F74">
            <v>1440</v>
          </cell>
          <cell r="G74">
            <v>874</v>
          </cell>
          <cell r="H74">
            <v>1463</v>
          </cell>
          <cell r="N74">
            <v>1440</v>
          </cell>
          <cell r="O74">
            <v>1224</v>
          </cell>
        </row>
        <row r="75">
          <cell r="A75" t="str">
            <v>노말밴드HI Φ54mm</v>
          </cell>
          <cell r="B75" t="str">
            <v>노말밴드</v>
          </cell>
          <cell r="C75" t="str">
            <v>HI Φ54mm</v>
          </cell>
          <cell r="D75" t="str">
            <v>m</v>
          </cell>
          <cell r="E75">
            <v>824</v>
          </cell>
          <cell r="F75">
            <v>2040</v>
          </cell>
          <cell r="G75">
            <v>874</v>
          </cell>
          <cell r="H75">
            <v>2308</v>
          </cell>
          <cell r="N75">
            <v>2040</v>
          </cell>
          <cell r="O75">
            <v>1734</v>
          </cell>
        </row>
        <row r="76">
          <cell r="A76" t="str">
            <v>노말밴드HI Φ70mm</v>
          </cell>
          <cell r="B76" t="str">
            <v>노말밴드</v>
          </cell>
          <cell r="C76" t="str">
            <v>HI Φ70mm</v>
          </cell>
          <cell r="D76" t="str">
            <v>m</v>
          </cell>
          <cell r="E76">
            <v>824</v>
          </cell>
          <cell r="F76">
            <v>3960</v>
          </cell>
          <cell r="G76">
            <v>874</v>
          </cell>
          <cell r="H76">
            <v>3341</v>
          </cell>
          <cell r="N76">
            <v>3341</v>
          </cell>
          <cell r="O76">
            <v>2839</v>
          </cell>
        </row>
        <row r="77">
          <cell r="A77" t="str">
            <v>노말밴드HI Φ100mm</v>
          </cell>
          <cell r="B77" t="str">
            <v>노말밴드</v>
          </cell>
          <cell r="C77" t="str">
            <v>HI Φ100mm</v>
          </cell>
          <cell r="D77" t="str">
            <v>m</v>
          </cell>
          <cell r="E77">
            <v>824</v>
          </cell>
          <cell r="F77">
            <v>8400</v>
          </cell>
          <cell r="G77">
            <v>874</v>
          </cell>
          <cell r="H77">
            <v>7030</v>
          </cell>
          <cell r="N77">
            <v>7030</v>
          </cell>
          <cell r="O77">
            <v>5975</v>
          </cell>
        </row>
        <row r="78">
          <cell r="A78" t="str">
            <v>파이프 크램프Φ16mm</v>
          </cell>
          <cell r="B78" t="str">
            <v>파이프 크램프</v>
          </cell>
          <cell r="C78" t="str">
            <v>Φ16mm</v>
          </cell>
          <cell r="D78" t="str">
            <v>개</v>
          </cell>
          <cell r="E78">
            <v>820</v>
          </cell>
          <cell r="F78">
            <v>270</v>
          </cell>
          <cell r="G78">
            <v>871</v>
          </cell>
          <cell r="H78">
            <v>325</v>
          </cell>
          <cell r="N78">
            <v>270</v>
          </cell>
          <cell r="O78">
            <v>229</v>
          </cell>
        </row>
        <row r="79">
          <cell r="A79" t="str">
            <v>파이프 크램프Φ22mm</v>
          </cell>
          <cell r="B79" t="str">
            <v>파이프 크램프</v>
          </cell>
          <cell r="C79" t="str">
            <v>Φ22mm</v>
          </cell>
          <cell r="D79" t="str">
            <v>개</v>
          </cell>
          <cell r="E79">
            <v>820</v>
          </cell>
          <cell r="F79">
            <v>300</v>
          </cell>
          <cell r="G79">
            <v>871</v>
          </cell>
          <cell r="H79">
            <v>385</v>
          </cell>
          <cell r="N79">
            <v>300</v>
          </cell>
          <cell r="O79">
            <v>255</v>
          </cell>
        </row>
        <row r="80">
          <cell r="A80" t="str">
            <v>파이프 크램프Φ28mm</v>
          </cell>
          <cell r="B80" t="str">
            <v>파이프 크램프</v>
          </cell>
          <cell r="C80" t="str">
            <v>Φ28mm</v>
          </cell>
          <cell r="D80" t="str">
            <v>개</v>
          </cell>
          <cell r="E80">
            <v>820</v>
          </cell>
          <cell r="F80">
            <v>350</v>
          </cell>
          <cell r="G80">
            <v>871</v>
          </cell>
          <cell r="H80">
            <v>445</v>
          </cell>
          <cell r="N80">
            <v>350</v>
          </cell>
          <cell r="O80">
            <v>297</v>
          </cell>
        </row>
        <row r="81">
          <cell r="A81" t="str">
            <v>파이프 크램프Φ36mm</v>
          </cell>
          <cell r="B81" t="str">
            <v>파이프 크램프</v>
          </cell>
          <cell r="C81" t="str">
            <v>Φ36mm</v>
          </cell>
          <cell r="D81" t="str">
            <v>개</v>
          </cell>
          <cell r="E81">
            <v>820</v>
          </cell>
          <cell r="F81">
            <v>420</v>
          </cell>
          <cell r="G81">
            <v>871</v>
          </cell>
          <cell r="H81">
            <v>510</v>
          </cell>
          <cell r="N81">
            <v>420</v>
          </cell>
          <cell r="O81">
            <v>357</v>
          </cell>
        </row>
        <row r="82">
          <cell r="A82" t="str">
            <v>파이프 크램프Φ42mm</v>
          </cell>
          <cell r="B82" t="str">
            <v>파이프 크램프</v>
          </cell>
          <cell r="C82" t="str">
            <v>Φ42mm</v>
          </cell>
          <cell r="D82" t="str">
            <v>개</v>
          </cell>
          <cell r="E82">
            <v>820</v>
          </cell>
          <cell r="F82">
            <v>460</v>
          </cell>
          <cell r="G82">
            <v>871</v>
          </cell>
          <cell r="H82">
            <v>600</v>
          </cell>
          <cell r="N82">
            <v>460</v>
          </cell>
          <cell r="O82">
            <v>391</v>
          </cell>
        </row>
        <row r="83">
          <cell r="A83" t="str">
            <v>파이프 크램프Φ54mm</v>
          </cell>
          <cell r="B83" t="str">
            <v>파이프 크램프</v>
          </cell>
          <cell r="C83" t="str">
            <v>Φ54mm</v>
          </cell>
          <cell r="D83" t="str">
            <v>개</v>
          </cell>
          <cell r="E83">
            <v>820</v>
          </cell>
          <cell r="F83">
            <v>550</v>
          </cell>
          <cell r="G83">
            <v>871</v>
          </cell>
          <cell r="H83">
            <v>710</v>
          </cell>
          <cell r="N83">
            <v>550</v>
          </cell>
          <cell r="O83">
            <v>467</v>
          </cell>
        </row>
        <row r="84">
          <cell r="A84" t="str">
            <v>파이프 크램프Φ70mm</v>
          </cell>
          <cell r="B84" t="str">
            <v>파이프 크램프</v>
          </cell>
          <cell r="C84" t="str">
            <v>Φ70mm</v>
          </cell>
          <cell r="D84" t="str">
            <v>개</v>
          </cell>
          <cell r="E84">
            <v>820</v>
          </cell>
          <cell r="F84">
            <v>999</v>
          </cell>
          <cell r="G84">
            <v>871</v>
          </cell>
          <cell r="H84">
            <v>930</v>
          </cell>
          <cell r="N84">
            <v>930</v>
          </cell>
          <cell r="O84">
            <v>790</v>
          </cell>
        </row>
        <row r="85">
          <cell r="A85" t="str">
            <v>OUTLET BOX중형4각(54mm)</v>
          </cell>
          <cell r="B85" t="str">
            <v>OUTLET BOX</v>
          </cell>
          <cell r="C85" t="str">
            <v>중형4각(54mm)</v>
          </cell>
          <cell r="D85" t="str">
            <v>개</v>
          </cell>
          <cell r="E85">
            <v>827</v>
          </cell>
          <cell r="F85">
            <v>832</v>
          </cell>
          <cell r="G85">
            <v>882</v>
          </cell>
          <cell r="H85">
            <v>630</v>
          </cell>
          <cell r="I85">
            <v>389</v>
          </cell>
          <cell r="J85">
            <v>630</v>
          </cell>
          <cell r="N85">
            <v>630</v>
          </cell>
          <cell r="O85">
            <v>535</v>
          </cell>
        </row>
        <row r="86">
          <cell r="A86" t="str">
            <v>OUTLET BOX COVER중형4각(54mm)</v>
          </cell>
          <cell r="B86" t="str">
            <v>OUTLET BOX COVER</v>
          </cell>
          <cell r="C86" t="str">
            <v>중형4각(54mm)</v>
          </cell>
          <cell r="D86" t="str">
            <v>개</v>
          </cell>
          <cell r="E86">
            <v>796</v>
          </cell>
          <cell r="F86">
            <v>238</v>
          </cell>
          <cell r="G86">
            <v>883</v>
          </cell>
          <cell r="H86">
            <v>220</v>
          </cell>
          <cell r="N86">
            <v>220</v>
          </cell>
          <cell r="O86">
            <v>187</v>
          </cell>
        </row>
        <row r="87">
          <cell r="A87" t="str">
            <v>풀박스200x200x100</v>
          </cell>
          <cell r="B87" t="str">
            <v>풀박스</v>
          </cell>
          <cell r="C87" t="str">
            <v>200x200x100</v>
          </cell>
          <cell r="D87" t="str">
            <v>개</v>
          </cell>
          <cell r="E87">
            <v>825</v>
          </cell>
          <cell r="F87">
            <v>3647</v>
          </cell>
          <cell r="G87">
            <v>883</v>
          </cell>
          <cell r="H87">
            <v>3420</v>
          </cell>
          <cell r="N87">
            <v>3420</v>
          </cell>
          <cell r="O87">
            <v>2907</v>
          </cell>
        </row>
        <row r="88">
          <cell r="A88" t="str">
            <v>CP BOX 설치300x300x300</v>
          </cell>
          <cell r="B88" t="str">
            <v>CP BOX 설치</v>
          </cell>
          <cell r="C88" t="str">
            <v>300x300x300</v>
          </cell>
          <cell r="D88" t="str">
            <v>개</v>
          </cell>
          <cell r="E88">
            <v>825</v>
          </cell>
          <cell r="F88">
            <v>9535</v>
          </cell>
          <cell r="G88">
            <v>883</v>
          </cell>
          <cell r="H88">
            <v>8910</v>
          </cell>
          <cell r="N88">
            <v>8910</v>
          </cell>
          <cell r="O88">
            <v>7573</v>
          </cell>
        </row>
        <row r="89">
          <cell r="A89" t="str">
            <v>멘홀용사다리L2300</v>
          </cell>
          <cell r="B89" t="str">
            <v>멘홀용사다리</v>
          </cell>
          <cell r="C89" t="str">
            <v>L2300</v>
          </cell>
          <cell r="D89" t="str">
            <v>개</v>
          </cell>
          <cell r="E89">
            <v>911</v>
          </cell>
          <cell r="F89">
            <v>50000</v>
          </cell>
          <cell r="G89">
            <v>958</v>
          </cell>
          <cell r="H89">
            <v>55000</v>
          </cell>
          <cell r="N89">
            <v>50000</v>
          </cell>
          <cell r="O89">
            <v>42500</v>
          </cell>
        </row>
        <row r="90">
          <cell r="A90" t="str">
            <v>가락지19x92mm</v>
          </cell>
          <cell r="B90" t="str">
            <v>가락지</v>
          </cell>
          <cell r="C90" t="str">
            <v>19x92mm</v>
          </cell>
          <cell r="D90" t="str">
            <v>개</v>
          </cell>
          <cell r="E90">
            <v>909</v>
          </cell>
          <cell r="F90">
            <v>320</v>
          </cell>
          <cell r="G90">
            <v>958</v>
          </cell>
          <cell r="H90">
            <v>320</v>
          </cell>
          <cell r="N90">
            <v>320</v>
          </cell>
          <cell r="O90">
            <v>272</v>
          </cell>
        </row>
        <row r="91">
          <cell r="A91" t="str">
            <v>사다리각정19x1040mm</v>
          </cell>
          <cell r="B91" t="str">
            <v>사다리각정</v>
          </cell>
          <cell r="C91" t="str">
            <v>19x1040mm</v>
          </cell>
          <cell r="D91" t="str">
            <v>개</v>
          </cell>
          <cell r="E91">
            <v>909</v>
          </cell>
          <cell r="F91">
            <v>2800</v>
          </cell>
          <cell r="G91">
            <v>958</v>
          </cell>
          <cell r="H91">
            <v>2800</v>
          </cell>
          <cell r="N91">
            <v>2800</v>
          </cell>
          <cell r="O91">
            <v>2380</v>
          </cell>
        </row>
        <row r="92">
          <cell r="A92" t="str">
            <v>케이블받침대75x40x5x1150</v>
          </cell>
          <cell r="B92" t="str">
            <v>케이블받침대</v>
          </cell>
          <cell r="C92" t="str">
            <v>75x40x5x1150</v>
          </cell>
          <cell r="D92" t="str">
            <v>개</v>
          </cell>
          <cell r="E92">
            <v>909</v>
          </cell>
          <cell r="F92">
            <v>7000</v>
          </cell>
          <cell r="G92">
            <v>958</v>
          </cell>
          <cell r="H92">
            <v>7000</v>
          </cell>
          <cell r="N92">
            <v>7000</v>
          </cell>
          <cell r="O92">
            <v>5950</v>
          </cell>
        </row>
        <row r="93">
          <cell r="A93" t="str">
            <v>케이블받침대75x40x5x550</v>
          </cell>
          <cell r="B93" t="str">
            <v>케이블받침대</v>
          </cell>
          <cell r="C93" t="str">
            <v>75x40x5x550</v>
          </cell>
          <cell r="D93" t="str">
            <v>개</v>
          </cell>
          <cell r="E93">
            <v>909</v>
          </cell>
          <cell r="F93">
            <v>5500</v>
          </cell>
          <cell r="G93">
            <v>958</v>
          </cell>
          <cell r="H93">
            <v>5500</v>
          </cell>
          <cell r="N93">
            <v>5500</v>
          </cell>
          <cell r="O93">
            <v>4675</v>
          </cell>
        </row>
        <row r="94">
          <cell r="A94" t="str">
            <v>케이블걸이쇠1호</v>
          </cell>
          <cell r="B94" t="str">
            <v>케이블걸이쇠</v>
          </cell>
          <cell r="C94" t="str">
            <v>1호</v>
          </cell>
          <cell r="D94" t="str">
            <v>개</v>
          </cell>
          <cell r="E94">
            <v>909</v>
          </cell>
          <cell r="F94">
            <v>1500</v>
          </cell>
          <cell r="G94">
            <v>958</v>
          </cell>
          <cell r="H94">
            <v>1510</v>
          </cell>
          <cell r="N94">
            <v>1500</v>
          </cell>
          <cell r="O94">
            <v>1275</v>
          </cell>
        </row>
        <row r="95">
          <cell r="A95" t="str">
            <v>케이블걸이쇠3호</v>
          </cell>
          <cell r="B95" t="str">
            <v>케이블걸이쇠</v>
          </cell>
          <cell r="C95" t="str">
            <v>3호</v>
          </cell>
          <cell r="D95" t="str">
            <v>개</v>
          </cell>
          <cell r="E95">
            <v>909</v>
          </cell>
          <cell r="F95">
            <v>1850</v>
          </cell>
          <cell r="G95">
            <v>958</v>
          </cell>
          <cell r="H95">
            <v>1850</v>
          </cell>
          <cell r="N95">
            <v>1850</v>
          </cell>
          <cell r="O95">
            <v>1572</v>
          </cell>
        </row>
        <row r="96">
          <cell r="A96" t="str">
            <v>스피커HORN형5W</v>
          </cell>
          <cell r="B96" t="str">
            <v>스피커</v>
          </cell>
          <cell r="C96" t="str">
            <v>HORN형5W</v>
          </cell>
          <cell r="D96" t="str">
            <v>개</v>
          </cell>
          <cell r="K96">
            <v>35000</v>
          </cell>
          <cell r="L96">
            <v>38000</v>
          </cell>
          <cell r="N96">
            <v>35000</v>
          </cell>
          <cell r="O96">
            <v>29750</v>
          </cell>
        </row>
        <row r="97">
          <cell r="A97" t="str">
            <v>접지봉16Dx1800mm</v>
          </cell>
          <cell r="B97" t="str">
            <v>접지봉</v>
          </cell>
          <cell r="C97" t="str">
            <v>16Dx1800mm</v>
          </cell>
          <cell r="D97" t="str">
            <v>개</v>
          </cell>
          <cell r="E97">
            <v>887</v>
          </cell>
          <cell r="F97">
            <v>4900</v>
          </cell>
          <cell r="G97">
            <v>930</v>
          </cell>
          <cell r="H97">
            <v>4500</v>
          </cell>
          <cell r="N97">
            <v>4500</v>
          </cell>
          <cell r="O97">
            <v>3825</v>
          </cell>
        </row>
        <row r="98">
          <cell r="A98" t="str">
            <v>접지슬리브60-60,38㎟</v>
          </cell>
          <cell r="B98" t="str">
            <v>접지슬리브</v>
          </cell>
          <cell r="C98" t="str">
            <v>60-60,38㎟</v>
          </cell>
          <cell r="D98" t="str">
            <v>개</v>
          </cell>
          <cell r="E98">
            <v>910</v>
          </cell>
          <cell r="F98">
            <v>1610</v>
          </cell>
          <cell r="G98">
            <v>930</v>
          </cell>
          <cell r="H98">
            <v>1500</v>
          </cell>
          <cell r="N98">
            <v>1500</v>
          </cell>
          <cell r="O98">
            <v>1275</v>
          </cell>
        </row>
        <row r="99">
          <cell r="A99" t="str">
            <v>접지저항저감제통신접지용(10㎏)</v>
          </cell>
          <cell r="B99" t="str">
            <v>접지저항저감제</v>
          </cell>
          <cell r="C99" t="str">
            <v>통신접지용(10㎏)</v>
          </cell>
          <cell r="D99" t="str">
            <v>포</v>
          </cell>
          <cell r="E99">
            <v>887</v>
          </cell>
          <cell r="F99">
            <v>25000</v>
          </cell>
          <cell r="G99">
            <v>930</v>
          </cell>
          <cell r="H99">
            <v>22000</v>
          </cell>
          <cell r="N99">
            <v>22000</v>
          </cell>
          <cell r="O99">
            <v>18700</v>
          </cell>
        </row>
        <row r="100">
          <cell r="A100" t="str">
            <v>PP헌마대60x100</v>
          </cell>
          <cell r="B100" t="str">
            <v>PP헌마대</v>
          </cell>
          <cell r="C100" t="str">
            <v>60x100</v>
          </cell>
          <cell r="D100" t="str">
            <v>개</v>
          </cell>
          <cell r="E100">
            <v>1160</v>
          </cell>
          <cell r="F100">
            <v>160</v>
          </cell>
          <cell r="G100">
            <v>1096</v>
          </cell>
          <cell r="H100">
            <v>120</v>
          </cell>
          <cell r="N100">
            <v>120</v>
          </cell>
          <cell r="O100">
            <v>102</v>
          </cell>
        </row>
        <row r="101">
          <cell r="A101" t="str">
            <v>새들 Φ28mm</v>
          </cell>
          <cell r="B101" t="str">
            <v>새들</v>
          </cell>
          <cell r="C101" t="str">
            <v xml:space="preserve"> Φ28mm</v>
          </cell>
          <cell r="D101" t="str">
            <v>개</v>
          </cell>
          <cell r="E101">
            <v>820</v>
          </cell>
          <cell r="F101">
            <v>85</v>
          </cell>
          <cell r="G101">
            <v>871</v>
          </cell>
          <cell r="H101">
            <v>74</v>
          </cell>
          <cell r="N101">
            <v>74</v>
          </cell>
          <cell r="O101">
            <v>62</v>
          </cell>
        </row>
        <row r="102">
          <cell r="A102" t="str">
            <v>새들 Φ36mm</v>
          </cell>
          <cell r="B102" t="str">
            <v>새들</v>
          </cell>
          <cell r="C102" t="str">
            <v xml:space="preserve"> Φ36mm</v>
          </cell>
          <cell r="D102" t="str">
            <v>개</v>
          </cell>
          <cell r="E102">
            <v>820</v>
          </cell>
          <cell r="F102">
            <v>110</v>
          </cell>
          <cell r="G102">
            <v>871</v>
          </cell>
          <cell r="H102">
            <v>95</v>
          </cell>
          <cell r="N102">
            <v>95</v>
          </cell>
          <cell r="O102">
            <v>80</v>
          </cell>
        </row>
        <row r="103">
          <cell r="A103" t="str">
            <v>켑타이어케이블CTC2P</v>
          </cell>
          <cell r="B103" t="str">
            <v>켑타이어케이블</v>
          </cell>
          <cell r="C103" t="str">
            <v>CTC2P</v>
          </cell>
          <cell r="D103" t="str">
            <v>m</v>
          </cell>
          <cell r="K103">
            <v>800</v>
          </cell>
          <cell r="N103">
            <v>800</v>
          </cell>
          <cell r="O103">
            <v>680</v>
          </cell>
        </row>
        <row r="104">
          <cell r="A104" t="str">
            <v>건전지4MD</v>
          </cell>
          <cell r="B104" t="str">
            <v>건전지</v>
          </cell>
          <cell r="C104" t="str">
            <v>4MD</v>
          </cell>
          <cell r="D104" t="str">
            <v>개</v>
          </cell>
          <cell r="E104">
            <v>968</v>
          </cell>
          <cell r="F104">
            <v>2750</v>
          </cell>
          <cell r="G104">
            <v>984</v>
          </cell>
          <cell r="H104">
            <v>3200</v>
          </cell>
          <cell r="N104">
            <v>2750</v>
          </cell>
          <cell r="O104">
            <v>2337</v>
          </cell>
        </row>
        <row r="105">
          <cell r="A105" t="str">
            <v>케이블심선접속자0.4-0.9(ULG)</v>
          </cell>
          <cell r="B105" t="str">
            <v>케이블심선접속자</v>
          </cell>
          <cell r="C105" t="str">
            <v>0.4-0.9(ULG)</v>
          </cell>
          <cell r="D105" t="str">
            <v>개</v>
          </cell>
          <cell r="E105">
            <v>817</v>
          </cell>
          <cell r="F105">
            <v>170</v>
          </cell>
          <cell r="G105">
            <v>865</v>
          </cell>
          <cell r="H105">
            <v>170</v>
          </cell>
          <cell r="N105">
            <v>170</v>
          </cell>
          <cell r="O105">
            <v>144</v>
          </cell>
        </row>
        <row r="106">
          <cell r="A106" t="str">
            <v>케이블접속제75-300</v>
          </cell>
          <cell r="B106" t="str">
            <v>케이블접속제</v>
          </cell>
          <cell r="C106" t="str">
            <v>75-300</v>
          </cell>
          <cell r="D106" t="str">
            <v>KIT</v>
          </cell>
          <cell r="E106">
            <v>817</v>
          </cell>
          <cell r="F106">
            <v>121200</v>
          </cell>
          <cell r="G106">
            <v>865</v>
          </cell>
          <cell r="H106">
            <v>121200</v>
          </cell>
          <cell r="N106">
            <v>121200</v>
          </cell>
          <cell r="O106">
            <v>103020</v>
          </cell>
        </row>
        <row r="107">
          <cell r="A107" t="str">
            <v>경고테이프200×250</v>
          </cell>
          <cell r="B107" t="str">
            <v>경고테이프</v>
          </cell>
          <cell r="C107" t="str">
            <v>200×250</v>
          </cell>
          <cell r="D107" t="str">
            <v>m</v>
          </cell>
          <cell r="E107">
            <v>909</v>
          </cell>
          <cell r="F107">
            <v>170</v>
          </cell>
          <cell r="G107">
            <v>958</v>
          </cell>
          <cell r="H107">
            <v>170</v>
          </cell>
          <cell r="N107">
            <v>170</v>
          </cell>
          <cell r="O107">
            <v>144</v>
          </cell>
        </row>
        <row r="108">
          <cell r="A108" t="str">
            <v>다이폴ANT1호</v>
          </cell>
          <cell r="B108" t="str">
            <v>다이폴ANT</v>
          </cell>
          <cell r="C108" t="str">
            <v>1호</v>
          </cell>
          <cell r="D108" t="str">
            <v>기</v>
          </cell>
          <cell r="K108">
            <v>250000</v>
          </cell>
          <cell r="L108">
            <v>200000</v>
          </cell>
          <cell r="N108">
            <v>200000</v>
          </cell>
          <cell r="O108">
            <v>170000</v>
          </cell>
        </row>
        <row r="109">
          <cell r="A109" t="str">
            <v>ANTG.P(3단)</v>
          </cell>
          <cell r="B109" t="str">
            <v>ANT</v>
          </cell>
          <cell r="C109" t="str">
            <v>G.P(3단)</v>
          </cell>
          <cell r="D109" t="str">
            <v>기</v>
          </cell>
          <cell r="K109">
            <v>150000</v>
          </cell>
          <cell r="L109">
            <v>120000</v>
          </cell>
          <cell r="N109">
            <v>120000</v>
          </cell>
          <cell r="O109">
            <v>102000</v>
          </cell>
        </row>
        <row r="110">
          <cell r="A110" t="str">
            <v>ELP전선관Φ30</v>
          </cell>
          <cell r="B110" t="str">
            <v>ELP전선관</v>
          </cell>
          <cell r="C110" t="str">
            <v>Φ30</v>
          </cell>
          <cell r="D110" t="str">
            <v>m</v>
          </cell>
          <cell r="E110">
            <v>825</v>
          </cell>
          <cell r="F110">
            <v>470</v>
          </cell>
          <cell r="G110">
            <v>867</v>
          </cell>
          <cell r="H110">
            <v>310</v>
          </cell>
          <cell r="N110">
            <v>310</v>
          </cell>
          <cell r="O110">
            <v>263</v>
          </cell>
        </row>
        <row r="111">
          <cell r="A111" t="str">
            <v>ELP전선관Φ80</v>
          </cell>
          <cell r="B111" t="str">
            <v>ELP전선관</v>
          </cell>
          <cell r="C111" t="str">
            <v>Φ80</v>
          </cell>
          <cell r="D111" t="str">
            <v>m</v>
          </cell>
          <cell r="E111">
            <v>825</v>
          </cell>
          <cell r="F111">
            <v>1860</v>
          </cell>
          <cell r="G111">
            <v>867</v>
          </cell>
          <cell r="H111">
            <v>1300</v>
          </cell>
          <cell r="N111">
            <v>1300</v>
          </cell>
          <cell r="O111">
            <v>1105</v>
          </cell>
        </row>
        <row r="112">
          <cell r="A112" t="str">
            <v>ELP전선관Φ50</v>
          </cell>
          <cell r="B112" t="str">
            <v>ELP전선관</v>
          </cell>
          <cell r="C112" t="str">
            <v>Φ50</v>
          </cell>
          <cell r="D112" t="str">
            <v>m</v>
          </cell>
          <cell r="E112">
            <v>825</v>
          </cell>
          <cell r="F112">
            <v>860</v>
          </cell>
          <cell r="G112">
            <v>867</v>
          </cell>
          <cell r="H112">
            <v>640</v>
          </cell>
          <cell r="N112">
            <v>640</v>
          </cell>
          <cell r="O112">
            <v>544</v>
          </cell>
        </row>
        <row r="113">
          <cell r="A113" t="str">
            <v>ELP전선관Φ100</v>
          </cell>
          <cell r="B113" t="str">
            <v>ELP전선관</v>
          </cell>
          <cell r="C113" t="str">
            <v>Φ100</v>
          </cell>
          <cell r="D113" t="str">
            <v>m</v>
          </cell>
          <cell r="E113">
            <v>825</v>
          </cell>
          <cell r="F113">
            <v>2570</v>
          </cell>
          <cell r="G113">
            <v>867</v>
          </cell>
          <cell r="H113">
            <v>1600</v>
          </cell>
          <cell r="N113">
            <v>1600</v>
          </cell>
          <cell r="O113">
            <v>1360</v>
          </cell>
        </row>
        <row r="114">
          <cell r="A114" t="str">
            <v>새들Φ54mm</v>
          </cell>
          <cell r="B114" t="str">
            <v>새들</v>
          </cell>
          <cell r="C114" t="str">
            <v>Φ54mm</v>
          </cell>
          <cell r="D114" t="str">
            <v>개</v>
          </cell>
          <cell r="E114">
            <v>820</v>
          </cell>
          <cell r="F114">
            <v>270</v>
          </cell>
          <cell r="G114">
            <v>871</v>
          </cell>
          <cell r="H114">
            <v>189</v>
          </cell>
          <cell r="N114">
            <v>189</v>
          </cell>
          <cell r="O114">
            <v>160</v>
          </cell>
        </row>
        <row r="115">
          <cell r="A115" t="str">
            <v>새들Φ22mm</v>
          </cell>
          <cell r="B115" t="str">
            <v>새들</v>
          </cell>
          <cell r="C115" t="str">
            <v>Φ22mm</v>
          </cell>
          <cell r="D115" t="str">
            <v>개</v>
          </cell>
          <cell r="E115">
            <v>820</v>
          </cell>
          <cell r="F115">
            <v>110</v>
          </cell>
          <cell r="N115">
            <v>110</v>
          </cell>
          <cell r="O115">
            <v>93</v>
          </cell>
        </row>
        <row r="116">
          <cell r="A116" t="str">
            <v>접착제0</v>
          </cell>
          <cell r="B116" t="str">
            <v>접착제</v>
          </cell>
          <cell r="C116">
            <v>0</v>
          </cell>
          <cell r="D116" t="str">
            <v>g</v>
          </cell>
          <cell r="E116">
            <v>129</v>
          </cell>
          <cell r="F116">
            <v>3</v>
          </cell>
          <cell r="G116">
            <v>104</v>
          </cell>
          <cell r="H116">
            <v>10</v>
          </cell>
          <cell r="N116">
            <v>3</v>
          </cell>
          <cell r="O116">
            <v>2</v>
          </cell>
        </row>
        <row r="117">
          <cell r="A117" t="str">
            <v>PP로프4mm</v>
          </cell>
          <cell r="B117" t="str">
            <v>PP로프</v>
          </cell>
          <cell r="C117" t="str">
            <v>4mm</v>
          </cell>
          <cell r="D117" t="str">
            <v>m</v>
          </cell>
          <cell r="E117">
            <v>1134</v>
          </cell>
          <cell r="F117">
            <v>53.5</v>
          </cell>
          <cell r="N117">
            <v>53.5</v>
          </cell>
          <cell r="O117">
            <v>45</v>
          </cell>
        </row>
        <row r="118">
          <cell r="A118" t="str">
            <v>시외케이블PEF0.9x38P(15%차)</v>
          </cell>
          <cell r="B118" t="str">
            <v>시외케이블</v>
          </cell>
          <cell r="C118" t="str">
            <v>PEF0.9x38P(15%차)</v>
          </cell>
          <cell r="D118" t="str">
            <v>m</v>
          </cell>
          <cell r="K118">
            <v>7540</v>
          </cell>
          <cell r="N118">
            <v>7540</v>
          </cell>
          <cell r="O118">
            <v>6409</v>
          </cell>
        </row>
        <row r="119">
          <cell r="A119" t="str">
            <v>달대볼트1/2"×1000</v>
          </cell>
          <cell r="B119" t="str">
            <v>달대볼트</v>
          </cell>
          <cell r="C119" t="str">
            <v>1/2"×1000</v>
          </cell>
          <cell r="D119" t="str">
            <v>개</v>
          </cell>
          <cell r="E119">
            <v>97</v>
          </cell>
          <cell r="F119">
            <v>480</v>
          </cell>
          <cell r="G119">
            <v>78</v>
          </cell>
          <cell r="H119">
            <v>585</v>
          </cell>
          <cell r="N119">
            <v>480</v>
          </cell>
          <cell r="O119">
            <v>408</v>
          </cell>
        </row>
        <row r="120">
          <cell r="A120" t="str">
            <v>케이블접속제75-600</v>
          </cell>
          <cell r="B120" t="str">
            <v>케이블접속제</v>
          </cell>
          <cell r="C120" t="str">
            <v>75-600</v>
          </cell>
          <cell r="D120" t="str">
            <v>KIT</v>
          </cell>
          <cell r="E120">
            <v>817</v>
          </cell>
          <cell r="F120">
            <v>161000</v>
          </cell>
          <cell r="G120">
            <v>865</v>
          </cell>
          <cell r="H120">
            <v>161000</v>
          </cell>
          <cell r="N120">
            <v>161000</v>
          </cell>
          <cell r="O120">
            <v>136850</v>
          </cell>
        </row>
        <row r="121">
          <cell r="A121" t="str">
            <v>브레이드</v>
          </cell>
          <cell r="B121" t="str">
            <v>브레이드</v>
          </cell>
          <cell r="D121" t="str">
            <v>개</v>
          </cell>
          <cell r="E121">
            <v>1095</v>
          </cell>
          <cell r="F121">
            <v>188000</v>
          </cell>
          <cell r="G121">
            <v>781</v>
          </cell>
          <cell r="H121">
            <v>170000</v>
          </cell>
          <cell r="N121">
            <v>170000</v>
          </cell>
          <cell r="O121">
            <v>144500</v>
          </cell>
        </row>
        <row r="122">
          <cell r="A122" t="str">
            <v>열수축보수관34-10-1500</v>
          </cell>
          <cell r="B122" t="str">
            <v>열수축보수관</v>
          </cell>
          <cell r="C122" t="str">
            <v>34-10-1500</v>
          </cell>
          <cell r="D122" t="str">
            <v>m</v>
          </cell>
          <cell r="G122">
            <v>864</v>
          </cell>
          <cell r="H122">
            <v>14600</v>
          </cell>
          <cell r="N122">
            <v>14600</v>
          </cell>
          <cell r="O122">
            <v>12410</v>
          </cell>
        </row>
        <row r="123">
          <cell r="A123" t="str">
            <v>POLE행선안내게시기 지지용</v>
          </cell>
          <cell r="B123" t="str">
            <v>POLE</v>
          </cell>
          <cell r="C123" t="str">
            <v>행선안내게시기 지지용</v>
          </cell>
          <cell r="D123" t="str">
            <v>개소</v>
          </cell>
          <cell r="K123">
            <v>1250000</v>
          </cell>
          <cell r="L123">
            <v>1500000</v>
          </cell>
          <cell r="N123">
            <v>1250000</v>
          </cell>
          <cell r="O123">
            <v>1062500</v>
          </cell>
        </row>
        <row r="124">
          <cell r="A124" t="str">
            <v>아스콘1#78 표층용</v>
          </cell>
          <cell r="B124" t="str">
            <v>아스콘1</v>
          </cell>
          <cell r="C124" t="str">
            <v>#78 표층용</v>
          </cell>
          <cell r="D124" t="str">
            <v>톤</v>
          </cell>
          <cell r="E124">
            <v>154</v>
          </cell>
          <cell r="F124">
            <v>32200</v>
          </cell>
          <cell r="G124">
            <v>150</v>
          </cell>
          <cell r="H124">
            <v>34200</v>
          </cell>
          <cell r="N124">
            <v>32200</v>
          </cell>
          <cell r="O124">
            <v>27370</v>
          </cell>
        </row>
        <row r="125">
          <cell r="A125" t="str">
            <v>유화아스팔트RSC-4</v>
          </cell>
          <cell r="B125" t="str">
            <v>유화아스팔트</v>
          </cell>
          <cell r="C125" t="str">
            <v>RSC-4</v>
          </cell>
          <cell r="D125" t="str">
            <v>D/M</v>
          </cell>
          <cell r="E125">
            <v>154</v>
          </cell>
          <cell r="F125">
            <v>52000</v>
          </cell>
          <cell r="G125">
            <v>150</v>
          </cell>
          <cell r="H125">
            <v>52000</v>
          </cell>
          <cell r="N125">
            <v>52000</v>
          </cell>
          <cell r="O125">
            <v>44200</v>
          </cell>
        </row>
        <row r="126">
          <cell r="A126" t="str">
            <v>아스콘2#57 중층용</v>
          </cell>
          <cell r="B126" t="str">
            <v>아스콘2</v>
          </cell>
          <cell r="C126" t="str">
            <v>#57 중층용</v>
          </cell>
          <cell r="D126" t="str">
            <v>톤</v>
          </cell>
          <cell r="E126">
            <v>154</v>
          </cell>
          <cell r="F126">
            <v>28400</v>
          </cell>
          <cell r="G126">
            <v>150</v>
          </cell>
          <cell r="H126">
            <v>30400</v>
          </cell>
          <cell r="N126">
            <v>28400</v>
          </cell>
          <cell r="O126">
            <v>24140</v>
          </cell>
        </row>
        <row r="127">
          <cell r="A127" t="str">
            <v>컷아스팔트MC-1</v>
          </cell>
          <cell r="B127" t="str">
            <v>컷아스팔트</v>
          </cell>
          <cell r="C127" t="str">
            <v>MC-1</v>
          </cell>
          <cell r="D127" t="str">
            <v>D/M</v>
          </cell>
          <cell r="E127">
            <v>154</v>
          </cell>
          <cell r="F127">
            <v>58000</v>
          </cell>
          <cell r="G127">
            <v>150</v>
          </cell>
          <cell r="H127">
            <v>58000</v>
          </cell>
          <cell r="N127">
            <v>58000</v>
          </cell>
          <cell r="O127">
            <v>49300</v>
          </cell>
        </row>
        <row r="128">
          <cell r="A128" t="str">
            <v>평철밴드Φ115mm</v>
          </cell>
          <cell r="B128" t="str">
            <v>평철밴드</v>
          </cell>
          <cell r="C128" t="str">
            <v>Φ115mm</v>
          </cell>
          <cell r="D128" t="str">
            <v>개</v>
          </cell>
          <cell r="K128">
            <v>3900</v>
          </cell>
          <cell r="N128">
            <v>3900</v>
          </cell>
          <cell r="O128">
            <v>3315</v>
          </cell>
        </row>
        <row r="129">
          <cell r="A129" t="str">
            <v/>
          </cell>
          <cell r="N129">
            <v>0</v>
          </cell>
        </row>
        <row r="130">
          <cell r="A130" t="str">
            <v/>
          </cell>
          <cell r="N130">
            <v>0</v>
          </cell>
        </row>
        <row r="131">
          <cell r="A131" t="str">
            <v/>
          </cell>
          <cell r="N131">
            <v>0</v>
          </cell>
        </row>
        <row r="132">
          <cell r="A132" t="str">
            <v/>
          </cell>
          <cell r="N132">
            <v>0</v>
          </cell>
        </row>
        <row r="133">
          <cell r="A133" t="str">
            <v/>
          </cell>
          <cell r="N133">
            <v>0</v>
          </cell>
        </row>
      </sheetData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</sheetNames>
    <sheetDataSet>
      <sheetData sheetId="0" refreshError="1"/>
      <sheetData sheetId="1" refreshError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기구내역서(HOTEL)"/>
    </sheetNames>
    <definedNames>
      <definedName name="매크로19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   의"/>
      <sheetName val="쇼핑준공조서"/>
      <sheetName val="호텔준공조서"/>
      <sheetName val="내   역"/>
      <sheetName val="내   역 (2)"/>
      <sheetName val="결재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소"/>
      <sheetName val="Sheet1"/>
      <sheetName val="Sheet2"/>
      <sheetName val="공문"/>
      <sheetName val="결재"/>
    </sheetNames>
    <sheetDataSet>
      <sheetData sheetId="0">
        <row r="1">
          <cell r="A1">
            <v>1</v>
          </cell>
          <cell r="B1" t="str">
            <v>롯데리아강남점  대표  임 형 수</v>
          </cell>
        </row>
        <row r="2">
          <cell r="A2">
            <v>2</v>
          </cell>
          <cell r="B2" t="str">
            <v>롯데리아강동점  대표  김 진 양</v>
          </cell>
        </row>
        <row r="3">
          <cell r="A3">
            <v>3</v>
          </cell>
          <cell r="B3" t="str">
            <v>롯데리아강릉점  대표  장 군 실</v>
          </cell>
        </row>
        <row r="4">
          <cell r="A4">
            <v>4</v>
          </cell>
          <cell r="B4" t="str">
            <v>롯데리아강화점  대표  방 만 영</v>
          </cell>
        </row>
        <row r="5">
          <cell r="A5">
            <v>5</v>
          </cell>
          <cell r="B5" t="str">
            <v>롯데리아강릉터미널점  대표  주)동부고속</v>
          </cell>
        </row>
        <row r="6">
          <cell r="A6">
            <v>6</v>
          </cell>
          <cell r="B6" t="str">
            <v>롯데리아개봉점  대표  덕삼산업(주)</v>
          </cell>
        </row>
        <row r="7">
          <cell r="A7">
            <v>7</v>
          </cell>
          <cell r="B7" t="str">
            <v>롯데리아거창점  대표  합)태  양</v>
          </cell>
        </row>
        <row r="8">
          <cell r="A8">
            <v>8</v>
          </cell>
          <cell r="B8" t="str">
            <v>롯데리아거재고현점  대표  전 준 상</v>
          </cell>
        </row>
        <row r="9">
          <cell r="A9">
            <v>9</v>
          </cell>
          <cell r="B9" t="str">
            <v>롯데리아경산점  대표  김 춘 수</v>
          </cell>
        </row>
        <row r="10">
          <cell r="A10">
            <v>10</v>
          </cell>
          <cell r="B10" t="str">
            <v>롯데리아경주점  대표  박 홍 환</v>
          </cell>
        </row>
        <row r="11">
          <cell r="A11">
            <v>11</v>
          </cell>
          <cell r="B11" t="str">
            <v>롯데리아고양행신점  대표  이인재,이현주</v>
          </cell>
        </row>
        <row r="12">
          <cell r="A12">
            <v>12</v>
          </cell>
          <cell r="B12" t="str">
            <v>롯데리아공주점  대표  이 건 희</v>
          </cell>
        </row>
        <row r="13">
          <cell r="A13">
            <v>13</v>
          </cell>
          <cell r="B13" t="str">
            <v>롯데리아공항시장점  대표  조도환.조순환</v>
          </cell>
        </row>
        <row r="14">
          <cell r="A14">
            <v>14</v>
          </cell>
          <cell r="B14" t="str">
            <v>롯데리아광안점  대표  박 정 임</v>
          </cell>
        </row>
        <row r="15">
          <cell r="A15">
            <v>15</v>
          </cell>
          <cell r="B15" t="str">
            <v>롯데리아광명나산점  대표  신 희 석</v>
          </cell>
        </row>
        <row r="16">
          <cell r="A16">
            <v>16</v>
          </cell>
          <cell r="B16" t="str">
            <v>롯데리아광명중앙점  대표  양 행 식</v>
          </cell>
        </row>
        <row r="17">
          <cell r="A17">
            <v>17</v>
          </cell>
          <cell r="B17" t="str">
            <v>롯데리아광명철산점  대표  김순연 外2</v>
          </cell>
        </row>
        <row r="18">
          <cell r="A18">
            <v>18</v>
          </cell>
          <cell r="B18" t="str">
            <v>롯데리아광복문고점  대표  주)한  통</v>
          </cell>
        </row>
        <row r="19">
          <cell r="A19">
            <v>19</v>
          </cell>
          <cell r="B19" t="str">
            <v>롯데리아광주금남로점  대표  이남구,이보현</v>
          </cell>
        </row>
        <row r="20">
          <cell r="A20">
            <v>20</v>
          </cell>
          <cell r="B20" t="str">
            <v>롯데리아광주동구점  대표  윤 영 미</v>
          </cell>
        </row>
        <row r="21">
          <cell r="A21">
            <v>21</v>
          </cell>
          <cell r="B21" t="str">
            <v>롯데리아광주문흥점  대표  박 영 희</v>
          </cell>
        </row>
        <row r="22">
          <cell r="A22">
            <v>22</v>
          </cell>
          <cell r="B22" t="str">
            <v>롯데리아광주운암점  대표  주 경 자</v>
          </cell>
        </row>
        <row r="23">
          <cell r="A23">
            <v>23</v>
          </cell>
          <cell r="B23" t="str">
            <v>롯데리아광주충장점  대표  김 형 모</v>
          </cell>
        </row>
        <row r="24">
          <cell r="A24">
            <v>24</v>
          </cell>
          <cell r="B24" t="str">
            <v>롯데리아광주터미널점  대표  유)혜  승</v>
          </cell>
        </row>
        <row r="25">
          <cell r="A25">
            <v>25</v>
          </cell>
          <cell r="B25" t="str">
            <v>롯데리아구미점  대표  이 선 동</v>
          </cell>
        </row>
        <row r="26">
          <cell r="A26">
            <v>26</v>
          </cell>
          <cell r="B26" t="str">
            <v>롯데리아구의점  대표  주)세원프라자</v>
          </cell>
        </row>
        <row r="27">
          <cell r="A27">
            <v>27</v>
          </cell>
          <cell r="B27" t="str">
            <v>롯데리아구로서부점  대표  이강미,김정옥</v>
          </cell>
        </row>
        <row r="28">
          <cell r="A28">
            <v>28</v>
          </cell>
          <cell r="B28" t="str">
            <v>롯데리아구로애경점  대표  정 춘 희</v>
          </cell>
        </row>
        <row r="29">
          <cell r="A29">
            <v>29</v>
          </cell>
          <cell r="B29" t="str">
            <v>롯데리아구미이번가점  대표  김 일 호</v>
          </cell>
        </row>
        <row r="30">
          <cell r="A30">
            <v>30</v>
          </cell>
          <cell r="B30" t="str">
            <v>롯데리아구미인동점  대표  박 도 건</v>
          </cell>
        </row>
        <row r="31">
          <cell r="A31">
            <v>31</v>
          </cell>
          <cell r="B31" t="str">
            <v>롯데리아구미형곡점  대표  라 경 숙</v>
          </cell>
        </row>
        <row r="32">
          <cell r="A32">
            <v>32</v>
          </cell>
          <cell r="B32" t="str">
            <v>롯데리아군산중앙점  대표  박 순 님</v>
          </cell>
        </row>
        <row r="33">
          <cell r="A33">
            <v>33</v>
          </cell>
          <cell r="B33" t="str">
            <v>롯데리아군산현대코아점  대표  문 정 화</v>
          </cell>
        </row>
        <row r="34">
          <cell r="A34">
            <v>34</v>
          </cell>
          <cell r="B34" t="str">
            <v>롯데리아그레이스점  대표  정 순 환</v>
          </cell>
        </row>
        <row r="35">
          <cell r="A35">
            <v>35</v>
          </cell>
          <cell r="B35" t="str">
            <v>롯데리아금정점  대표  이 계 석</v>
          </cell>
        </row>
        <row r="36">
          <cell r="A36">
            <v>36</v>
          </cell>
          <cell r="B36" t="str">
            <v>롯데리아금촌점  대표  임 영 식</v>
          </cell>
        </row>
        <row r="37">
          <cell r="A37">
            <v>37</v>
          </cell>
          <cell r="B37" t="str">
            <v>롯데리아길음점  대표  유림식품(주)</v>
          </cell>
        </row>
        <row r="38">
          <cell r="A38">
            <v>38</v>
          </cell>
          <cell r="B38" t="str">
            <v>롯데리아김제점  대표  김 중 권</v>
          </cell>
        </row>
        <row r="39">
          <cell r="A39">
            <v>39</v>
          </cell>
          <cell r="B39" t="str">
            <v>롯데리아김천점  대표  서 동 근</v>
          </cell>
        </row>
        <row r="40">
          <cell r="A40">
            <v>40</v>
          </cell>
          <cell r="B40" t="str">
            <v>롯데리아김포점  대표  강 성 호</v>
          </cell>
        </row>
        <row r="41">
          <cell r="A41">
            <v>41</v>
          </cell>
          <cell r="B41" t="str">
            <v>롯데리아김해점  대표  이 상 인</v>
          </cell>
        </row>
        <row r="42">
          <cell r="A42">
            <v>42</v>
          </cell>
          <cell r="B42" t="str">
            <v>롯데리아김해부원점  대표  백 상 기</v>
          </cell>
        </row>
        <row r="43">
          <cell r="A43">
            <v>43</v>
          </cell>
          <cell r="B43" t="str">
            <v>롯데리아김해어방점  대표  김헌주,박문이</v>
          </cell>
        </row>
        <row r="44">
          <cell r="A44">
            <v>44</v>
          </cell>
          <cell r="B44" t="str">
            <v>롯데리아남원점  대표  이쌍순,송명희</v>
          </cell>
        </row>
        <row r="45">
          <cell r="A45">
            <v>45</v>
          </cell>
          <cell r="B45" t="str">
            <v>롯데리아남천점  대표  박 은 숙</v>
          </cell>
        </row>
        <row r="46">
          <cell r="A46">
            <v>46</v>
          </cell>
          <cell r="B46" t="str">
            <v>롯데리아남마산점  대표  배 원 상</v>
          </cell>
        </row>
        <row r="47">
          <cell r="A47">
            <v>47</v>
          </cell>
          <cell r="B47" t="str">
            <v>롯데리아남천비치점  대표  원 학 순</v>
          </cell>
        </row>
        <row r="48">
          <cell r="A48">
            <v>48</v>
          </cell>
          <cell r="B48" t="str">
            <v>롯데리아남포중앙점  대표  이 인 식</v>
          </cell>
        </row>
        <row r="49">
          <cell r="A49">
            <v>49</v>
          </cell>
          <cell r="B49" t="str">
            <v>롯데리아노량진점  대표  신 욱 열</v>
          </cell>
        </row>
        <row r="50">
          <cell r="A50">
            <v>50</v>
          </cell>
          <cell r="B50" t="str">
            <v>롯데리아논산점  대표  이 영 자</v>
          </cell>
        </row>
        <row r="51">
          <cell r="A51">
            <v>51</v>
          </cell>
          <cell r="B51" t="str">
            <v>롯데리아능곡LG점  대표  최 성 화</v>
          </cell>
        </row>
        <row r="52">
          <cell r="A52">
            <v>52</v>
          </cell>
          <cell r="B52" t="str">
            <v>롯데리아당진점  대표  박 성 민</v>
          </cell>
        </row>
        <row r="53">
          <cell r="A53">
            <v>53</v>
          </cell>
          <cell r="B53" t="str">
            <v>롯데리아대천점  대표  이 철 원</v>
          </cell>
        </row>
        <row r="54">
          <cell r="A54">
            <v>54</v>
          </cell>
          <cell r="B54" t="str">
            <v>롯데리아대치점  대표  정 미 숙</v>
          </cell>
        </row>
        <row r="55">
          <cell r="A55">
            <v>55</v>
          </cell>
          <cell r="B55" t="str">
            <v>롯데리아대구감삼점  대표  유 원 겸</v>
          </cell>
        </row>
        <row r="56">
          <cell r="A56">
            <v>56</v>
          </cell>
          <cell r="B56" t="str">
            <v>롯데리아대구계명점  대표  정 영 화</v>
          </cell>
        </row>
        <row r="57">
          <cell r="A57">
            <v>57</v>
          </cell>
          <cell r="B57" t="str">
            <v>롯데리아대구남일점  대표  정해식,이주현</v>
          </cell>
        </row>
        <row r="58">
          <cell r="A58">
            <v>58</v>
          </cell>
          <cell r="B58" t="str">
            <v>롯데리아대구대곡점  대표  차 진 철</v>
          </cell>
        </row>
        <row r="59">
          <cell r="A59">
            <v>59</v>
          </cell>
          <cell r="B59" t="str">
            <v>롯데리아대구대명시장점  대표  홍 정 숙</v>
          </cell>
        </row>
        <row r="60">
          <cell r="A60">
            <v>60</v>
          </cell>
          <cell r="B60" t="str">
            <v>롯데리아대구동구점  대표  이 승 희</v>
          </cell>
        </row>
        <row r="61">
          <cell r="A61">
            <v>61</v>
          </cell>
          <cell r="B61" t="str">
            <v>롯데리아대구동산점  대표  허 화 선</v>
          </cell>
        </row>
        <row r="62">
          <cell r="A62">
            <v>62</v>
          </cell>
          <cell r="B62" t="str">
            <v>롯데리아대구동성로점  대표  사공 명옥</v>
          </cell>
        </row>
        <row r="63">
          <cell r="A63">
            <v>63</v>
          </cell>
          <cell r="B63" t="str">
            <v>롯데리아대구만촌점  대표  김 순 애</v>
          </cell>
        </row>
        <row r="64">
          <cell r="A64">
            <v>64</v>
          </cell>
          <cell r="B64" t="str">
            <v>롯데리아대구복현점  대표  주)미  봉</v>
          </cell>
        </row>
        <row r="65">
          <cell r="A65">
            <v>65</v>
          </cell>
          <cell r="B65" t="str">
            <v>롯데리아대구봉덕점  대표  이 수 창</v>
          </cell>
        </row>
        <row r="66">
          <cell r="A66">
            <v>66</v>
          </cell>
          <cell r="B66" t="str">
            <v>롯데리아대구봉산점  대표  유 경 우</v>
          </cell>
        </row>
        <row r="67">
          <cell r="A67">
            <v>67</v>
          </cell>
          <cell r="B67" t="str">
            <v>롯데리아대구삼성점  대표  이근우,이미자</v>
          </cell>
        </row>
        <row r="68">
          <cell r="A68">
            <v>68</v>
          </cell>
          <cell r="B68" t="str">
            <v>롯데리아대구상인점  대표  주)안  산</v>
          </cell>
        </row>
        <row r="69">
          <cell r="A69">
            <v>69</v>
          </cell>
          <cell r="B69" t="str">
            <v>롯데리아대구서부점  대표  최 용 찬</v>
          </cell>
        </row>
        <row r="70">
          <cell r="A70">
            <v>70</v>
          </cell>
          <cell r="B70" t="str">
            <v>롯데리아대구성서점  대표  이병림,백남채</v>
          </cell>
        </row>
        <row r="71">
          <cell r="A71">
            <v>71</v>
          </cell>
          <cell r="B71" t="str">
            <v>롯데리아대구시지점  대표  김 영 희</v>
          </cell>
        </row>
        <row r="72">
          <cell r="A72">
            <v>72</v>
          </cell>
          <cell r="B72" t="str">
            <v>롯데리아대구신공평점  대표  차 승 호</v>
          </cell>
        </row>
        <row r="73">
          <cell r="A73">
            <v>73</v>
          </cell>
          <cell r="B73" t="str">
            <v>롯데리아대구신암점  대표  주)신일유통</v>
          </cell>
        </row>
        <row r="74">
          <cell r="A74">
            <v>74</v>
          </cell>
          <cell r="B74" t="str">
            <v>롯데리아대구씨네아시아점  대표  최 상 균</v>
          </cell>
        </row>
        <row r="75">
          <cell r="A75">
            <v>75</v>
          </cell>
          <cell r="B75" t="str">
            <v>롯데리아대구중구점  대표  주)영랜드</v>
          </cell>
        </row>
        <row r="76">
          <cell r="A76">
            <v>76</v>
          </cell>
          <cell r="B76" t="str">
            <v>롯데리아대구중앙점  대표  김 영 하</v>
          </cell>
        </row>
        <row r="77">
          <cell r="A77">
            <v>77</v>
          </cell>
          <cell r="B77" t="str">
            <v>롯데리아대구지산점  대표  이 창 석</v>
          </cell>
        </row>
        <row r="78">
          <cell r="A78">
            <v>78</v>
          </cell>
          <cell r="B78" t="str">
            <v>롯데리아대구칠곡점  대표  정 순 자</v>
          </cell>
        </row>
        <row r="79">
          <cell r="A79">
            <v>79</v>
          </cell>
          <cell r="B79" t="str">
            <v>롯데리아대구효목점  대표  이 용 후</v>
          </cell>
        </row>
        <row r="80">
          <cell r="A80">
            <v>80</v>
          </cell>
          <cell r="B80" t="str">
            <v>롯데리아대전국제점  대표  신기철,김준영</v>
          </cell>
        </row>
        <row r="81">
          <cell r="A81">
            <v>81</v>
          </cell>
          <cell r="B81" t="str">
            <v>롯데리아대전궁동점  대표  오 명 균</v>
          </cell>
        </row>
        <row r="82">
          <cell r="A82">
            <v>82</v>
          </cell>
          <cell r="B82" t="str">
            <v>롯데리아대전대흥점  대표  김길남,김길찬</v>
          </cell>
        </row>
        <row r="83">
          <cell r="A83">
            <v>83</v>
          </cell>
          <cell r="B83" t="str">
            <v>롯데리아대전도마점  대표  안 중 권</v>
          </cell>
        </row>
        <row r="84">
          <cell r="A84">
            <v>84</v>
          </cell>
          <cell r="B84" t="str">
            <v>롯데리아대전동부점  대표  이 호 성</v>
          </cell>
        </row>
        <row r="85">
          <cell r="A85">
            <v>85</v>
          </cell>
          <cell r="B85" t="str">
            <v>롯데리아대전둔산점  대표  주)대  룡</v>
          </cell>
        </row>
        <row r="86">
          <cell r="A86">
            <v>86</v>
          </cell>
          <cell r="B86" t="str">
            <v>롯데리아대전배재점  대표  민경직,박영혜</v>
          </cell>
        </row>
        <row r="87">
          <cell r="A87">
            <v>87</v>
          </cell>
          <cell r="B87" t="str">
            <v>롯데리아대전법동점  대표  오 명 균</v>
          </cell>
        </row>
        <row r="88">
          <cell r="A88">
            <v>88</v>
          </cell>
          <cell r="B88" t="str">
            <v>롯데리아대전삼부점  대표  삼부토건(주)</v>
          </cell>
        </row>
        <row r="89">
          <cell r="A89">
            <v>89</v>
          </cell>
          <cell r="B89" t="str">
            <v>롯데리아대전용두점  대표  이 희 웅</v>
          </cell>
        </row>
        <row r="90">
          <cell r="A90">
            <v>90</v>
          </cell>
          <cell r="B90" t="str">
            <v>롯데리아대전유성점  대표  이형재,박귀숙</v>
          </cell>
        </row>
        <row r="91">
          <cell r="A91">
            <v>91</v>
          </cell>
          <cell r="B91" t="str">
            <v>롯데리아대전은행점  대표  라 호 순</v>
          </cell>
        </row>
        <row r="92">
          <cell r="A92">
            <v>92</v>
          </cell>
          <cell r="B92" t="str">
            <v>롯데리아대전전민 점  대표  손 중 배</v>
          </cell>
        </row>
        <row r="93">
          <cell r="A93">
            <v>93</v>
          </cell>
          <cell r="B93" t="str">
            <v>롯데리아대전중구점  대표  이강길,이광재</v>
          </cell>
        </row>
        <row r="94">
          <cell r="A94">
            <v>94</v>
          </cell>
          <cell r="B94" t="str">
            <v>롯데리아대전중리점  대표  주)대  룡</v>
          </cell>
        </row>
        <row r="95">
          <cell r="A95">
            <v>95</v>
          </cell>
          <cell r="B95" t="str">
            <v>롯데리아대전중앙점  대표  주)대  룡</v>
          </cell>
        </row>
        <row r="96">
          <cell r="A96">
            <v>96</v>
          </cell>
          <cell r="B96" t="str">
            <v>롯데리아동암점  대표  이 정 록</v>
          </cell>
        </row>
        <row r="97">
          <cell r="A97">
            <v>97</v>
          </cell>
          <cell r="B97" t="str">
            <v>롯데리아동해점  대표  노 정 자</v>
          </cell>
        </row>
        <row r="98">
          <cell r="A98">
            <v>98</v>
          </cell>
          <cell r="B98" t="str">
            <v>롯데리아동대구점  대표  재)홍익회</v>
          </cell>
        </row>
        <row r="99">
          <cell r="A99">
            <v>99</v>
          </cell>
          <cell r="B99" t="str">
            <v>롯데리아동두천점  대표  주)장미유통</v>
          </cell>
        </row>
        <row r="100">
          <cell r="A100">
            <v>100</v>
          </cell>
          <cell r="B100" t="str">
            <v>롯데리아동수원점  대표  한성자,이경희</v>
          </cell>
        </row>
        <row r="101">
          <cell r="A101">
            <v>101</v>
          </cell>
          <cell r="B101" t="str">
            <v>롯데리아동인천점  대표  이 선 희</v>
          </cell>
        </row>
        <row r="102">
          <cell r="A102">
            <v>102</v>
          </cell>
          <cell r="B102" t="str">
            <v>롯데리아동양터미널점  대표  권 순 형</v>
          </cell>
        </row>
        <row r="103">
          <cell r="A103">
            <v>103</v>
          </cell>
          <cell r="B103" t="str">
            <v>롯데리아등촌시장점  대표  이 남 윤</v>
          </cell>
        </row>
        <row r="104">
          <cell r="A104">
            <v>104</v>
          </cell>
          <cell r="B104" t="str">
            <v>롯데리아마산성안점  대표  김 영 홍</v>
          </cell>
        </row>
        <row r="105">
          <cell r="A105">
            <v>105</v>
          </cell>
          <cell r="B105" t="str">
            <v>롯데리아마산중앙점  대표  권 영 재</v>
          </cell>
        </row>
        <row r="106">
          <cell r="A106">
            <v>106</v>
          </cell>
          <cell r="B106" t="str">
            <v>롯데리아마산창동점  대표  정 은 화</v>
          </cell>
        </row>
        <row r="107">
          <cell r="A107">
            <v>107</v>
          </cell>
          <cell r="B107" t="str">
            <v>롯데리아마산합성점  대표  이 고 성</v>
          </cell>
        </row>
        <row r="108">
          <cell r="A108">
            <v>108</v>
          </cell>
          <cell r="B108" t="str">
            <v>롯데리아면목점  대표  윤준구,윤태영</v>
          </cell>
        </row>
        <row r="109">
          <cell r="A109">
            <v>109</v>
          </cell>
          <cell r="B109" t="str">
            <v>롯데리아명일점  대표  김원옥,이선희</v>
          </cell>
        </row>
        <row r="110">
          <cell r="A110">
            <v>110</v>
          </cell>
          <cell r="B110" t="str">
            <v>롯데리아모래내점  대표  우 숙 자</v>
          </cell>
        </row>
        <row r="111">
          <cell r="A111">
            <v>111</v>
          </cell>
          <cell r="B111" t="str">
            <v>롯데리아목포점  대표  김 재 서</v>
          </cell>
        </row>
        <row r="112">
          <cell r="A112">
            <v>112</v>
          </cell>
          <cell r="B112" t="str">
            <v>롯데리아목동오거리점  대표  유 대 호</v>
          </cell>
        </row>
        <row r="113">
          <cell r="A113">
            <v>113</v>
          </cell>
          <cell r="B113" t="str">
            <v>롯데리아밀양점  대표  김 대 희</v>
          </cell>
        </row>
        <row r="114">
          <cell r="A114">
            <v>114</v>
          </cell>
          <cell r="B114" t="str">
            <v>롯데리아방학점  대표  박 찬 순</v>
          </cell>
        </row>
        <row r="115">
          <cell r="A115">
            <v>115</v>
          </cell>
          <cell r="B115" t="str">
            <v>롯데리아봉천점  대표  김 상 배</v>
          </cell>
        </row>
        <row r="116">
          <cell r="A116">
            <v>116</v>
          </cell>
          <cell r="B116" t="str">
            <v>롯데리아부전점  대표  김 종 원</v>
          </cell>
        </row>
        <row r="117">
          <cell r="A117">
            <v>117</v>
          </cell>
          <cell r="B117" t="str">
            <v>롯데리아부평점  대표  장 성 훈</v>
          </cell>
        </row>
        <row r="118">
          <cell r="A118">
            <v>118</v>
          </cell>
          <cell r="B118" t="str">
            <v>롯데리아부산가야점  대표  안 병 진</v>
          </cell>
        </row>
        <row r="119">
          <cell r="A119">
            <v>119</v>
          </cell>
          <cell r="B119" t="str">
            <v>롯데리아부산경성대점  대표  박 보 림</v>
          </cell>
        </row>
        <row r="120">
          <cell r="A120">
            <v>120</v>
          </cell>
          <cell r="B120" t="str">
            <v>롯데리아부산괴정점  대표  김 지 미</v>
          </cell>
        </row>
        <row r="121">
          <cell r="A121">
            <v>121</v>
          </cell>
          <cell r="B121" t="str">
            <v>롯데리아부산구서점  대표  윤 경 숙</v>
          </cell>
        </row>
        <row r="122">
          <cell r="A122">
            <v>122</v>
          </cell>
          <cell r="B122" t="str">
            <v>롯데리아부산다대포점  대표  김 영 미</v>
          </cell>
        </row>
        <row r="123">
          <cell r="A123">
            <v>123</v>
          </cell>
          <cell r="B123" t="str">
            <v>롯데리아부산당감점  대표  주)대일유통</v>
          </cell>
        </row>
        <row r="124">
          <cell r="A124">
            <v>124</v>
          </cell>
          <cell r="B124" t="str">
            <v>롯데리아부산대청점  대표  이 성 오</v>
          </cell>
        </row>
        <row r="125">
          <cell r="A125">
            <v>125</v>
          </cell>
          <cell r="B125" t="str">
            <v>롯데리아부산대학점  대표  이 상 필</v>
          </cell>
        </row>
        <row r="126">
          <cell r="A126">
            <v>126</v>
          </cell>
          <cell r="B126" t="str">
            <v>롯데리아부산덕천점  대표  강 세 민</v>
          </cell>
        </row>
        <row r="127">
          <cell r="A127">
            <v>127</v>
          </cell>
          <cell r="B127" t="str">
            <v>롯데리아부산명장점  대표  장 경 이</v>
          </cell>
        </row>
        <row r="128">
          <cell r="A128">
            <v>128</v>
          </cell>
          <cell r="B128" t="str">
            <v>롯데리아부산문현점  대표  신 용 일</v>
          </cell>
        </row>
        <row r="129">
          <cell r="A129">
            <v>129</v>
          </cell>
          <cell r="B129" t="str">
            <v>롯데리아부산반송점  대표  박종광,이래원</v>
          </cell>
        </row>
        <row r="130">
          <cell r="A130">
            <v>130</v>
          </cell>
          <cell r="B130" t="str">
            <v>롯데리아부산범일점  대표  김 옥 규</v>
          </cell>
        </row>
        <row r="131">
          <cell r="A131">
            <v>131</v>
          </cell>
          <cell r="B131" t="str">
            <v>롯데리아부산사상점  대표  이귀희 外2</v>
          </cell>
        </row>
        <row r="132">
          <cell r="A132">
            <v>132</v>
          </cell>
          <cell r="B132" t="str">
            <v>롯데리아부산서동점  대표  권 복 림</v>
          </cell>
        </row>
        <row r="133">
          <cell r="A133">
            <v>133</v>
          </cell>
          <cell r="B133" t="str">
            <v>롯데리아부산수정점  대표  정오식,전관명</v>
          </cell>
        </row>
        <row r="134">
          <cell r="A134">
            <v>134</v>
          </cell>
          <cell r="B134" t="str">
            <v>롯데리아부산양정점  대표  김    문</v>
          </cell>
        </row>
        <row r="135">
          <cell r="A135">
            <v>135</v>
          </cell>
          <cell r="B135" t="str">
            <v>롯데리아부산역사점  대표  재)홍익회</v>
          </cell>
        </row>
        <row r="136">
          <cell r="A136">
            <v>136</v>
          </cell>
          <cell r="B136" t="str">
            <v>롯데리아부산역전점  대표  전 중 수</v>
          </cell>
        </row>
        <row r="137">
          <cell r="A137">
            <v>137</v>
          </cell>
          <cell r="B137" t="str">
            <v>롯데리아부산연산점  대표  김태형 外2</v>
          </cell>
        </row>
        <row r="138">
          <cell r="A138">
            <v>138</v>
          </cell>
          <cell r="B138" t="str">
            <v>롯데리아부산온천점  대표  윤 종 희</v>
          </cell>
        </row>
        <row r="139">
          <cell r="A139">
            <v>139</v>
          </cell>
          <cell r="B139" t="str">
            <v>롯데리아부산용호점  대표  이상필,김종기</v>
          </cell>
        </row>
        <row r="140">
          <cell r="A140">
            <v>140</v>
          </cell>
          <cell r="B140" t="str">
            <v>롯데리아부산장림점  대표  김진원,최세진</v>
          </cell>
        </row>
        <row r="141">
          <cell r="A141">
            <v>141</v>
          </cell>
          <cell r="B141" t="str">
            <v>롯데리아부산하단점  대표  이 상 태</v>
          </cell>
        </row>
        <row r="142">
          <cell r="A142">
            <v>142</v>
          </cell>
          <cell r="B142" t="str">
            <v>롯데리아부천LG점  대표  최청자.최정복</v>
          </cell>
        </row>
        <row r="143">
          <cell r="A143">
            <v>143</v>
          </cell>
          <cell r="B143" t="str">
            <v>롯데리아부천남부점  대표  강 신 철</v>
          </cell>
        </row>
        <row r="144">
          <cell r="A144">
            <v>144</v>
          </cell>
          <cell r="B144" t="str">
            <v>롯데리아부천북부점  대표  서 창 석</v>
          </cell>
        </row>
        <row r="145">
          <cell r="A145">
            <v>145</v>
          </cell>
          <cell r="B145" t="str">
            <v>롯데리아부천송내점  대표  성이경,이복례</v>
          </cell>
        </row>
        <row r="146">
          <cell r="A146">
            <v>146</v>
          </cell>
          <cell r="B146" t="str">
            <v>롯데리아부천원미점  대표  정 충 언</v>
          </cell>
        </row>
        <row r="147">
          <cell r="A147">
            <v>147</v>
          </cell>
          <cell r="B147" t="str">
            <v>롯데리아부천원종점  대표  황 문 석</v>
          </cell>
        </row>
        <row r="148">
          <cell r="A148">
            <v>148</v>
          </cell>
          <cell r="B148" t="str">
            <v>롯데리아부평광장점  대표  최 성 일</v>
          </cell>
        </row>
        <row r="149">
          <cell r="A149">
            <v>149</v>
          </cell>
          <cell r="B149" t="str">
            <v>롯데리아부평중앙점  대표  성 우 모</v>
          </cell>
        </row>
        <row r="150">
          <cell r="A150">
            <v>150</v>
          </cell>
          <cell r="B150" t="str">
            <v>롯데리아북마산점  대표  조 경 애</v>
          </cell>
        </row>
        <row r="151">
          <cell r="A151">
            <v>151</v>
          </cell>
          <cell r="B151" t="str">
            <v>롯데리아분당서현점  대표  권성혁.최낙석</v>
          </cell>
        </row>
        <row r="152">
          <cell r="A152">
            <v>152</v>
          </cell>
          <cell r="B152" t="str">
            <v>롯데리아분당수내점  대표  김 정 옥</v>
          </cell>
        </row>
        <row r="153">
          <cell r="A153">
            <v>153</v>
          </cell>
          <cell r="B153" t="str">
            <v>롯데리아분당청구점  대표  이선희,이인우</v>
          </cell>
        </row>
        <row r="154">
          <cell r="A154">
            <v>154</v>
          </cell>
          <cell r="B154" t="str">
            <v>롯데리아사당점  대표  이 우 재</v>
          </cell>
        </row>
        <row r="155">
          <cell r="A155">
            <v>155</v>
          </cell>
          <cell r="B155" t="str">
            <v>롯데리아사직운동장점  대표  박 재 영</v>
          </cell>
        </row>
        <row r="156">
          <cell r="A156">
            <v>156</v>
          </cell>
          <cell r="B156" t="str">
            <v>롯데리아산본중앙점  대표  남상덕,이경수</v>
          </cell>
        </row>
        <row r="157">
          <cell r="A157">
            <v>157</v>
          </cell>
          <cell r="B157" t="str">
            <v>롯데리아삼천포점  대표  황 숙 희</v>
          </cell>
        </row>
        <row r="158">
          <cell r="A158">
            <v>158</v>
          </cell>
          <cell r="B158" t="str">
            <v>롯데리아상계점  대표  김 선 숙</v>
          </cell>
        </row>
        <row r="159">
          <cell r="A159">
            <v>159</v>
          </cell>
          <cell r="B159" t="str">
            <v>롯데리아상봉점  대표  송 양 규</v>
          </cell>
        </row>
        <row r="160">
          <cell r="A160">
            <v>160</v>
          </cell>
          <cell r="B160" t="str">
            <v>롯데리아상주점  대표  조 철 희</v>
          </cell>
        </row>
        <row r="161">
          <cell r="A161">
            <v>161</v>
          </cell>
          <cell r="B161" t="str">
            <v>롯데리아서면점  대표  주)영진식품</v>
          </cell>
        </row>
        <row r="162">
          <cell r="A162">
            <v>162</v>
          </cell>
          <cell r="B162" t="str">
            <v>롯데리아서귀포점  대표  전영배,전정배</v>
          </cell>
        </row>
        <row r="163">
          <cell r="A163">
            <v>163</v>
          </cell>
          <cell r="B163" t="str">
            <v>롯데리아서대문점  대표  이 영 순</v>
          </cell>
        </row>
        <row r="164">
          <cell r="A164">
            <v>164</v>
          </cell>
          <cell r="B164" t="str">
            <v>롯데리아서소문점  대표  박 옥 수</v>
          </cell>
        </row>
        <row r="165">
          <cell r="A165">
            <v>165</v>
          </cell>
          <cell r="B165" t="str">
            <v>롯데리아서면시장점  대표  임 건 철</v>
          </cell>
        </row>
        <row r="166">
          <cell r="A166">
            <v>166</v>
          </cell>
          <cell r="B166" t="str">
            <v>롯데리아서면중앙점  대표  김 광 자</v>
          </cell>
        </row>
        <row r="167">
          <cell r="A167">
            <v>167</v>
          </cell>
          <cell r="B167" t="str">
            <v>롯데리아서산동문점  대표  류 춘 곤</v>
          </cell>
        </row>
        <row r="168">
          <cell r="A168">
            <v>168</v>
          </cell>
          <cell r="B168" t="str">
            <v>롯데리아서울랜드점  대표  주)낙원식품</v>
          </cell>
        </row>
        <row r="169">
          <cell r="A169">
            <v>169</v>
          </cell>
          <cell r="B169" t="str">
            <v>롯데리아석계점  대표  제 응 문</v>
          </cell>
        </row>
        <row r="170">
          <cell r="A170">
            <v>170</v>
          </cell>
          <cell r="B170" t="str">
            <v>롯데리아석촌점  대표  조 종 석</v>
          </cell>
        </row>
        <row r="171">
          <cell r="A171">
            <v>171</v>
          </cell>
          <cell r="B171" t="str">
            <v>롯데리아석바위점  대표  장 성 훈</v>
          </cell>
        </row>
        <row r="172">
          <cell r="A172">
            <v>172</v>
          </cell>
          <cell r="B172" t="str">
            <v>롯데리아성남점  대표  한 정 민</v>
          </cell>
        </row>
        <row r="173">
          <cell r="A173">
            <v>173</v>
          </cell>
          <cell r="B173" t="str">
            <v>롯데리아성남모란점  대표  최 익 현</v>
          </cell>
        </row>
        <row r="174">
          <cell r="A174">
            <v>174</v>
          </cell>
          <cell r="B174" t="str">
            <v>롯데리아성남상대원점  대표  이 길 남</v>
          </cell>
        </row>
        <row r="175">
          <cell r="A175">
            <v>175</v>
          </cell>
          <cell r="B175" t="str">
            <v>롯데리아성남수정점  대표  주)21세기식품</v>
          </cell>
        </row>
        <row r="176">
          <cell r="A176">
            <v>176</v>
          </cell>
          <cell r="B176" t="str">
            <v>롯데리아성남신흥점  대표  류 근 자</v>
          </cell>
        </row>
        <row r="177">
          <cell r="A177">
            <v>177</v>
          </cell>
          <cell r="B177" t="str">
            <v>롯데리아성남양지점  대표  이 승 원</v>
          </cell>
        </row>
        <row r="178">
          <cell r="A178">
            <v>178</v>
          </cell>
          <cell r="B178" t="str">
            <v>롯데리아성남한신점  대표  김현수,이용애</v>
          </cell>
        </row>
        <row r="179">
          <cell r="A179">
            <v>179</v>
          </cell>
          <cell r="B179" t="str">
            <v>롯데리아성대시장점  대표  융성산업(주)</v>
          </cell>
        </row>
        <row r="180">
          <cell r="A180">
            <v>180</v>
          </cell>
          <cell r="B180" t="str">
            <v>롯데리아속초점  대표  홍 기 훈</v>
          </cell>
        </row>
        <row r="181">
          <cell r="A181">
            <v>181</v>
          </cell>
          <cell r="B181" t="str">
            <v xml:space="preserve">롯데리아수영로타리점  대표  이상필 外3 </v>
          </cell>
        </row>
        <row r="182">
          <cell r="A182">
            <v>182</v>
          </cell>
          <cell r="B182" t="str">
            <v>롯데리아수원남문점  대표  김 동 옥</v>
          </cell>
        </row>
        <row r="183">
          <cell r="A183">
            <v>183</v>
          </cell>
          <cell r="B183" t="str">
            <v>롯데리아수원매탄점  대표  좌 성 태</v>
          </cell>
        </row>
        <row r="184">
          <cell r="A184">
            <v>184</v>
          </cell>
          <cell r="B184" t="str">
            <v>롯데리아수원북문점  대표  정 국 현</v>
          </cell>
        </row>
        <row r="185">
          <cell r="A185">
            <v>185</v>
          </cell>
          <cell r="B185" t="str">
            <v>롯데리아수원시네마점  대표  이혜옥,김경실</v>
          </cell>
        </row>
        <row r="186">
          <cell r="A186">
            <v>186</v>
          </cell>
          <cell r="B186" t="str">
            <v>롯데리아수원크로바점  대표  주)크로바</v>
          </cell>
        </row>
        <row r="187">
          <cell r="A187">
            <v>187</v>
          </cell>
          <cell r="B187" t="str">
            <v>롯데리아수원터미널점  대표  주)코원식품</v>
          </cell>
        </row>
        <row r="188">
          <cell r="A188">
            <v>188</v>
          </cell>
          <cell r="B188" t="str">
            <v>롯데리아수원화서점  대표  이 희 수</v>
          </cell>
        </row>
        <row r="189">
          <cell r="A189">
            <v>189</v>
          </cell>
          <cell r="B189" t="str">
            <v>롯데리아순천점  대표  이 재 근</v>
          </cell>
        </row>
        <row r="190">
          <cell r="A190">
            <v>190</v>
          </cell>
          <cell r="B190" t="str">
            <v>롯데리아순천연향점  대표  안 점 남</v>
          </cell>
        </row>
        <row r="191">
          <cell r="A191">
            <v>191</v>
          </cell>
          <cell r="B191" t="str">
            <v>롯데리아스포츠점  대표  박 장 호</v>
          </cell>
        </row>
        <row r="192">
          <cell r="A192">
            <v>192</v>
          </cell>
          <cell r="B192" t="str">
            <v>롯데리아시흥점  대표  정 무 효</v>
          </cell>
        </row>
        <row r="193">
          <cell r="A193">
            <v>193</v>
          </cell>
          <cell r="B193" t="str">
            <v>롯데리아신갈점  대표  남석우,차상계</v>
          </cell>
        </row>
        <row r="194">
          <cell r="A194">
            <v>194</v>
          </cell>
          <cell r="B194" t="str">
            <v>롯데리아신길점  대표  정 재 필</v>
          </cell>
        </row>
        <row r="195">
          <cell r="A195">
            <v>195</v>
          </cell>
          <cell r="B195" t="str">
            <v>롯데리아신사점  대표  정재훈,정재만</v>
          </cell>
        </row>
        <row r="196">
          <cell r="A196">
            <v>196</v>
          </cell>
          <cell r="B196" t="str">
            <v>롯데리아신정점  대표  노 금 식</v>
          </cell>
        </row>
        <row r="197">
          <cell r="A197">
            <v>197</v>
          </cell>
          <cell r="B197" t="str">
            <v>롯데리아신원당점  대표  홍 주 표</v>
          </cell>
        </row>
        <row r="198">
          <cell r="A198">
            <v>198</v>
          </cell>
          <cell r="B198" t="str">
            <v>롯데리아신촌현대점  대표  주)현유통</v>
          </cell>
        </row>
        <row r="199">
          <cell r="A199">
            <v>199</v>
          </cell>
          <cell r="B199" t="str">
            <v>롯데리아안동점  대표  최 영 숙</v>
          </cell>
        </row>
        <row r="200">
          <cell r="A200">
            <v>200</v>
          </cell>
          <cell r="B200" t="str">
            <v>롯데리아안성점  대표  염 운 기</v>
          </cell>
        </row>
        <row r="201">
          <cell r="A201">
            <v>201</v>
          </cell>
          <cell r="B201" t="str">
            <v>롯데리아안양본점  대표  나 효 식</v>
          </cell>
        </row>
        <row r="202">
          <cell r="A202">
            <v>202</v>
          </cell>
          <cell r="B202" t="str">
            <v>롯데리아안산고잔점  대표  최 충 락</v>
          </cell>
        </row>
        <row r="203">
          <cell r="A203">
            <v>203</v>
          </cell>
          <cell r="B203" t="str">
            <v>롯데리아안산상록수점  대표  송 경 숙</v>
          </cell>
        </row>
        <row r="204">
          <cell r="A204">
            <v>204</v>
          </cell>
          <cell r="B204" t="str">
            <v>롯데리아안산선부점  대표  권 정 의</v>
          </cell>
        </row>
        <row r="205">
          <cell r="A205">
            <v>205</v>
          </cell>
          <cell r="B205" t="str">
            <v>롯데리아안양일번가점  대표  이 종 진</v>
          </cell>
        </row>
        <row r="206">
          <cell r="A206">
            <v>206</v>
          </cell>
          <cell r="B206" t="str">
            <v>롯데리아안양중앙점  대표  신필구 外2</v>
          </cell>
        </row>
        <row r="207">
          <cell r="A207">
            <v>207</v>
          </cell>
          <cell r="B207" t="str">
            <v>롯데리아양산점  대표  송 점 순</v>
          </cell>
        </row>
        <row r="208">
          <cell r="A208">
            <v>208</v>
          </cell>
          <cell r="B208" t="str">
            <v>롯데리아양산통도점  대표  김 상 범</v>
          </cell>
        </row>
        <row r="209">
          <cell r="A209">
            <v>209</v>
          </cell>
          <cell r="B209" t="str">
            <v>롯데리아언양점  대표  이 성 애</v>
          </cell>
        </row>
        <row r="210">
          <cell r="A210">
            <v>210</v>
          </cell>
          <cell r="B210" t="str">
            <v>롯데리아여수점  대표  김정환,김점옥</v>
          </cell>
        </row>
        <row r="211">
          <cell r="A211">
            <v>211</v>
          </cell>
          <cell r="B211" t="str">
            <v>롯데리아여수중앙점  대표  김정환,김점옥</v>
          </cell>
        </row>
        <row r="212">
          <cell r="A212">
            <v>212</v>
          </cell>
          <cell r="B212" t="str">
            <v>롯데리아역곡북부점  대표  박 인 숙</v>
          </cell>
        </row>
        <row r="213">
          <cell r="A213">
            <v>213</v>
          </cell>
          <cell r="B213" t="str">
            <v>롯데리아영주점  대표  최 영 호</v>
          </cell>
        </row>
        <row r="214">
          <cell r="A214">
            <v>214</v>
          </cell>
          <cell r="B214" t="str">
            <v>롯데리아영천점  대표  이상돈,서민수</v>
          </cell>
        </row>
        <row r="215">
          <cell r="A215">
            <v>215</v>
          </cell>
          <cell r="B215" t="str">
            <v>롯데리아영도동삼점  대표  정 현 철</v>
          </cell>
        </row>
        <row r="216">
          <cell r="A216">
            <v>216</v>
          </cell>
          <cell r="B216" t="str">
            <v>롯데리아예산점  대표  오 복 환</v>
          </cell>
        </row>
        <row r="217">
          <cell r="A217">
            <v>217</v>
          </cell>
          <cell r="B217" t="str">
            <v>롯데리아오류점  대표  박환규,박경훈</v>
          </cell>
        </row>
        <row r="218">
          <cell r="A218">
            <v>218</v>
          </cell>
          <cell r="B218" t="str">
            <v>롯데리아오산점  대표  조 명 연</v>
          </cell>
        </row>
        <row r="219">
          <cell r="A219">
            <v>219</v>
          </cell>
          <cell r="B219" t="str">
            <v>롯데리아온양점  대표  합)한  솔</v>
          </cell>
        </row>
        <row r="220">
          <cell r="A220">
            <v>220</v>
          </cell>
          <cell r="B220" t="str">
            <v>롯데리아왜관점  대표  최운배,김희곤</v>
          </cell>
        </row>
        <row r="221">
          <cell r="A221">
            <v>221</v>
          </cell>
          <cell r="B221" t="str">
            <v>롯데리아용인수지점  대표  한양수,이옥희</v>
          </cell>
        </row>
        <row r="222">
          <cell r="A222">
            <v>222</v>
          </cell>
          <cell r="B222" t="str">
            <v>롯데리아용인터미널점  대표  주)동부고속</v>
          </cell>
        </row>
        <row r="223">
          <cell r="A223">
            <v>223</v>
          </cell>
          <cell r="B223" t="str">
            <v>롯데리아울산공업탑점  대표  차 순 자</v>
          </cell>
        </row>
        <row r="224">
          <cell r="A224">
            <v>224</v>
          </cell>
          <cell r="B224" t="str">
            <v>롯데리아울산남목점  대표  천 영 미</v>
          </cell>
        </row>
        <row r="225">
          <cell r="A225">
            <v>225</v>
          </cell>
          <cell r="B225" t="str">
            <v>롯데리아울산대학점  대표  조 용 순</v>
          </cell>
        </row>
        <row r="226">
          <cell r="A226">
            <v>226</v>
          </cell>
          <cell r="B226" t="str">
            <v>롯데리아울산성남점  대표  주)세  인</v>
          </cell>
        </row>
        <row r="227">
          <cell r="A227">
            <v>227</v>
          </cell>
          <cell r="B227" t="str">
            <v>롯데리아울산세원점  대표  주)속리산고속</v>
          </cell>
        </row>
        <row r="228">
          <cell r="A228">
            <v>228</v>
          </cell>
          <cell r="B228" t="str">
            <v>롯데리아울산신정점  대표  박 준 수</v>
          </cell>
        </row>
        <row r="229">
          <cell r="A229">
            <v>229</v>
          </cell>
          <cell r="B229" t="str">
            <v>롯데리아울산옥교점  대표  이 지 자</v>
          </cell>
        </row>
        <row r="230">
          <cell r="A230">
            <v>230</v>
          </cell>
          <cell r="B230" t="str">
            <v>롯데리아울산중앙점  대표  박종희,서정원</v>
          </cell>
        </row>
        <row r="231">
          <cell r="A231">
            <v>231</v>
          </cell>
          <cell r="B231" t="str">
            <v>롯데리아원당점  대표  주)중앙상역</v>
          </cell>
        </row>
        <row r="232">
          <cell r="A232">
            <v>232</v>
          </cell>
          <cell r="B232" t="str">
            <v>롯데리아원광대학점  대표  김 형 식</v>
          </cell>
        </row>
        <row r="233">
          <cell r="A233">
            <v>233</v>
          </cell>
          <cell r="B233" t="str">
            <v>롯데리아원주남부점  대표  김혜영,엄선영</v>
          </cell>
        </row>
        <row r="234">
          <cell r="A234">
            <v>234</v>
          </cell>
          <cell r="B234" t="str">
            <v>롯데리아원주우산점  대표  하 재 섭</v>
          </cell>
        </row>
        <row r="235">
          <cell r="A235">
            <v>235</v>
          </cell>
          <cell r="B235" t="str">
            <v>롯데리아원주일산점  대표  엄 창 륜</v>
          </cell>
        </row>
        <row r="236">
          <cell r="A236">
            <v>236</v>
          </cell>
          <cell r="B236" t="str">
            <v>롯데리아의정부점  대표  중앙유통(주)</v>
          </cell>
        </row>
        <row r="237">
          <cell r="A237">
            <v>237</v>
          </cell>
          <cell r="B237" t="str">
            <v>롯데리아의정부북부점  대표  태 천 만</v>
          </cell>
        </row>
        <row r="238">
          <cell r="A238">
            <v>238</v>
          </cell>
          <cell r="B238" t="str">
            <v>롯데리아의정부시장점  대표  황 창 용</v>
          </cell>
        </row>
        <row r="239">
          <cell r="A239">
            <v>239</v>
          </cell>
          <cell r="B239" t="str">
            <v>롯데리아의정부역점  대표  재)홍익회</v>
          </cell>
        </row>
        <row r="240">
          <cell r="A240">
            <v>240</v>
          </cell>
          <cell r="B240" t="str">
            <v>롯데리아이천점  대표  이 기 형</v>
          </cell>
        </row>
        <row r="241">
          <cell r="A241">
            <v>241</v>
          </cell>
          <cell r="B241" t="str">
            <v>롯데리아이천현대점  대표  현대전자새마을금고</v>
          </cell>
        </row>
        <row r="242">
          <cell r="A242">
            <v>242</v>
          </cell>
          <cell r="B242" t="str">
            <v>롯데리아익산중앙점  대표  김명숙,이희자</v>
          </cell>
        </row>
        <row r="243">
          <cell r="A243">
            <v>243</v>
          </cell>
          <cell r="B243" t="str">
            <v>롯데리아인천가정점  대표  김 혜 숙</v>
          </cell>
        </row>
        <row r="244">
          <cell r="A244">
            <v>244</v>
          </cell>
          <cell r="B244" t="str">
            <v>롯데리아인천간석점  대표  주)신  양</v>
          </cell>
        </row>
        <row r="245">
          <cell r="A245">
            <v>245</v>
          </cell>
          <cell r="B245" t="str">
            <v>롯데리아인천계산점  대표  이 정 근</v>
          </cell>
        </row>
        <row r="246">
          <cell r="A246">
            <v>246</v>
          </cell>
          <cell r="B246" t="str">
            <v>롯데리아인천백운점  대표  김옥순,박정숙</v>
          </cell>
        </row>
        <row r="247">
          <cell r="A247">
            <v>247</v>
          </cell>
          <cell r="B247" t="str">
            <v>롯데리아인천석남점  대표  박 광 택</v>
          </cell>
        </row>
        <row r="248">
          <cell r="A248">
            <v>248</v>
          </cell>
          <cell r="B248" t="str">
            <v>롯데리아인천신기점  대표  심 재 창</v>
          </cell>
        </row>
        <row r="249">
          <cell r="A249">
            <v>249</v>
          </cell>
          <cell r="B249" t="str">
            <v>롯데리아인천신포점  대표  장 승 환</v>
          </cell>
        </row>
        <row r="250">
          <cell r="A250">
            <v>250</v>
          </cell>
          <cell r="B250" t="str">
            <v>롯데리아인천연수점  대표  박 재 호</v>
          </cell>
        </row>
        <row r="251">
          <cell r="A251">
            <v>251</v>
          </cell>
          <cell r="B251" t="str">
            <v>롯데리아인천월미점  대표  홍 순 화</v>
          </cell>
        </row>
        <row r="252">
          <cell r="A252">
            <v>252</v>
          </cell>
          <cell r="B252" t="str">
            <v>롯데리아일산뉴코아점  대표  이수교,이화용</v>
          </cell>
        </row>
        <row r="253">
          <cell r="A253">
            <v>253</v>
          </cell>
          <cell r="B253" t="str">
            <v>롯데리아일산시장점  대표  이 강 배</v>
          </cell>
        </row>
        <row r="254">
          <cell r="A254">
            <v>254</v>
          </cell>
          <cell r="B254" t="str">
            <v>롯데리아일산후곡점  대표  이 은 덕</v>
          </cell>
        </row>
        <row r="255">
          <cell r="A255">
            <v>255</v>
          </cell>
          <cell r="B255" t="str">
            <v>롯데리아전주중앙점  대표  이 철 재</v>
          </cell>
        </row>
        <row r="256">
          <cell r="A256">
            <v>256</v>
          </cell>
          <cell r="B256" t="str">
            <v>롯데리아정읍점  대표  유)동  성</v>
          </cell>
        </row>
        <row r="257">
          <cell r="A257">
            <v>257</v>
          </cell>
          <cell r="B257" t="str">
            <v>롯데리아제주점  대표  이 건 자</v>
          </cell>
        </row>
        <row r="258">
          <cell r="A258">
            <v>258</v>
          </cell>
          <cell r="B258" t="str">
            <v>롯데리아제천점  대표  주)원  영</v>
          </cell>
        </row>
        <row r="259">
          <cell r="A259">
            <v>259</v>
          </cell>
          <cell r="B259" t="str">
            <v>롯데리아제물포점  대표  방 은 진</v>
          </cell>
        </row>
        <row r="260">
          <cell r="A260">
            <v>260</v>
          </cell>
          <cell r="B260" t="str">
            <v>롯데리아제주광양점  대표  고 복 수</v>
          </cell>
        </row>
        <row r="261">
          <cell r="A261">
            <v>261</v>
          </cell>
          <cell r="B261" t="str">
            <v>롯데리아제주참피온점  대표  강병헌,김영섭</v>
          </cell>
        </row>
        <row r="262">
          <cell r="A262">
            <v>262</v>
          </cell>
          <cell r="B262" t="str">
            <v>롯데리아조치원점  대표  합)그  린</v>
          </cell>
        </row>
        <row r="263">
          <cell r="A263">
            <v>263</v>
          </cell>
          <cell r="B263" t="str">
            <v>롯데리아종로창신점  대표  성삼통상(주)</v>
          </cell>
        </row>
        <row r="264">
          <cell r="A264">
            <v>264</v>
          </cell>
          <cell r="B264" t="str">
            <v>롯데리아주안점  대표  이 정 익</v>
          </cell>
        </row>
        <row r="265">
          <cell r="A265">
            <v>265</v>
          </cell>
          <cell r="B265" t="str">
            <v>롯데리아죽암점  대표  보림개발(주)</v>
          </cell>
        </row>
        <row r="266">
          <cell r="A266">
            <v>266</v>
          </cell>
          <cell r="B266" t="str">
            <v>롯데리아중랑교점  대표  심 승 열</v>
          </cell>
        </row>
        <row r="267">
          <cell r="A267">
            <v>267</v>
          </cell>
          <cell r="B267" t="str">
            <v>롯데리아진해점  대표  김 영 덕</v>
          </cell>
        </row>
        <row r="268">
          <cell r="A268">
            <v>268</v>
          </cell>
          <cell r="B268" t="str">
            <v>롯데리아진주동점  대표  하 남 숙</v>
          </cell>
        </row>
        <row r="269">
          <cell r="A269">
            <v>269</v>
          </cell>
          <cell r="B269" t="str">
            <v>롯데리아진주동성점  대표  강 선 자</v>
          </cell>
        </row>
        <row r="270">
          <cell r="A270">
            <v>270</v>
          </cell>
          <cell r="B270" t="str">
            <v>롯데리아진주중안점  대표  하만규,우영숙</v>
          </cell>
        </row>
        <row r="271">
          <cell r="A271">
            <v>271</v>
          </cell>
          <cell r="B271" t="str">
            <v>롯데리아창원명곡점  대표  이 성 영</v>
          </cell>
        </row>
        <row r="272">
          <cell r="A272">
            <v>272</v>
          </cell>
          <cell r="B272" t="str">
            <v>롯데리아창원성원점  대표  이 양 재</v>
          </cell>
        </row>
        <row r="273">
          <cell r="A273">
            <v>273</v>
          </cell>
          <cell r="B273" t="str">
            <v>롯데리아창원용호점  대표  장유돈외 2인</v>
          </cell>
        </row>
        <row r="274">
          <cell r="A274">
            <v>274</v>
          </cell>
          <cell r="B274" t="str">
            <v>롯데리아창원중앙점  대표  최 정 숙</v>
          </cell>
        </row>
        <row r="275">
          <cell r="A275">
            <v>275</v>
          </cell>
          <cell r="B275" t="str">
            <v>롯데리아천안대흥점  대표  이 종 영</v>
          </cell>
        </row>
        <row r="276">
          <cell r="A276">
            <v>276</v>
          </cell>
          <cell r="B276" t="str">
            <v>롯데리아천안명동점  대표  합)정  원</v>
          </cell>
        </row>
        <row r="277">
          <cell r="A277">
            <v>277</v>
          </cell>
          <cell r="B277" t="str">
            <v>롯데리아천안삼거리점  대표  보림개발(주)</v>
          </cell>
        </row>
        <row r="278">
          <cell r="A278">
            <v>278</v>
          </cell>
          <cell r="B278" t="str">
            <v>롯데리아천안아라리오점  대표  장 상 훈</v>
          </cell>
        </row>
        <row r="279">
          <cell r="A279">
            <v>279</v>
          </cell>
          <cell r="B279" t="str">
            <v>롯데리아청주남문로점  대표  박 남 호</v>
          </cell>
        </row>
        <row r="280">
          <cell r="A280">
            <v>280</v>
          </cell>
          <cell r="B280" t="str">
            <v>롯데리아청주북문로점  대표  주)두  성</v>
          </cell>
        </row>
        <row r="281">
          <cell r="A281">
            <v>281</v>
          </cell>
          <cell r="B281" t="str">
            <v>롯데리아초동점  대표  김 효 영</v>
          </cell>
        </row>
        <row r="282">
          <cell r="A282">
            <v>282</v>
          </cell>
          <cell r="B282" t="str">
            <v>롯데리아춘천명동점  대표  윤 헌 영</v>
          </cell>
        </row>
        <row r="283">
          <cell r="A283">
            <v>283</v>
          </cell>
          <cell r="B283" t="str">
            <v>롯데리아춘천중앙점  대표  윤 영 란</v>
          </cell>
        </row>
        <row r="284">
          <cell r="A284">
            <v>284</v>
          </cell>
          <cell r="B284" t="str">
            <v>롯데리아충주점  대표  박 경 호</v>
          </cell>
        </row>
        <row r="285">
          <cell r="A285">
            <v>285</v>
          </cell>
          <cell r="B285" t="str">
            <v>롯데리아태백점  대표  박 동 우</v>
          </cell>
        </row>
        <row r="286">
          <cell r="A286">
            <v>286</v>
          </cell>
          <cell r="B286" t="str">
            <v>롯데리아터미널점  대표  주)성일식품</v>
          </cell>
        </row>
        <row r="287">
          <cell r="A287">
            <v>287</v>
          </cell>
          <cell r="B287" t="str">
            <v>롯데리아통영점  대표  조 미 애</v>
          </cell>
        </row>
        <row r="288">
          <cell r="A288">
            <v>288</v>
          </cell>
          <cell r="B288" t="str">
            <v>롯데리아평촌범계점  대표  장영란 外2</v>
          </cell>
        </row>
        <row r="289">
          <cell r="A289">
            <v>289</v>
          </cell>
          <cell r="B289" t="str">
            <v>롯데리아평택뉴코아점  대표  백대근,전계자</v>
          </cell>
        </row>
        <row r="290">
          <cell r="A290">
            <v>290</v>
          </cell>
          <cell r="B290" t="str">
            <v>롯데리아포천점  대표  권 동 일</v>
          </cell>
        </row>
        <row r="291">
          <cell r="A291">
            <v>291</v>
          </cell>
          <cell r="B291" t="str">
            <v>롯데리아포항대흥점  대표  김 진 두</v>
          </cell>
        </row>
        <row r="292">
          <cell r="A292">
            <v>292</v>
          </cell>
          <cell r="B292" t="str">
            <v>롯데리아하양점  대표  강 정 호</v>
          </cell>
        </row>
        <row r="293">
          <cell r="A293">
            <v>293</v>
          </cell>
          <cell r="B293" t="str">
            <v>롯데리아하남덕풍점  대표  문영진,문옥채</v>
          </cell>
        </row>
        <row r="294">
          <cell r="A294">
            <v>294</v>
          </cell>
          <cell r="B294" t="str">
            <v>롯데리아해운대리베라점  대표  이상필,정은영</v>
          </cell>
        </row>
        <row r="295">
          <cell r="A295">
            <v>295</v>
          </cell>
          <cell r="B295" t="str">
            <v>롯데리아해운대좌동점  대표  김 유 성</v>
          </cell>
        </row>
        <row r="296">
          <cell r="A296">
            <v>296</v>
          </cell>
          <cell r="B296" t="str">
            <v>롯데리아해운대중앙점  대표  윤병준,배경자</v>
          </cell>
        </row>
        <row r="297">
          <cell r="A297">
            <v>297</v>
          </cell>
          <cell r="B297" t="str">
            <v>롯데리아홍성점  대표  이 상 진</v>
          </cell>
        </row>
        <row r="298">
          <cell r="A298">
            <v>298</v>
          </cell>
          <cell r="B298" t="str">
            <v>롯데리아홍제점  대표  이 영 준</v>
          </cell>
        </row>
        <row r="299">
          <cell r="A299">
            <v>299</v>
          </cell>
          <cell r="B299" t="str">
            <v>롯데리아화양리점  대표  송 창 의</v>
          </cell>
        </row>
        <row r="300">
          <cell r="A300">
            <v>300</v>
          </cell>
          <cell r="B300" t="str">
            <v>롯데리아화곡시장점  대표  당 복 순</v>
          </cell>
        </row>
        <row r="301">
          <cell r="A301">
            <v>301</v>
          </cell>
          <cell r="B301" t="str">
            <v>롯데리아휘경점  대표  홍 행 자</v>
          </cell>
        </row>
        <row r="302">
          <cell r="A302">
            <v>302</v>
          </cell>
          <cell r="B302" t="str">
            <v>롯데리아북마산점  대표  조 경 애</v>
          </cell>
        </row>
        <row r="303">
          <cell r="A303">
            <v>303</v>
          </cell>
          <cell r="B303" t="str">
            <v>롯데리아신길점  대표  정 재 필</v>
          </cell>
        </row>
        <row r="304">
          <cell r="A304">
            <v>304</v>
          </cell>
          <cell r="B304" t="str">
            <v>롯데리아수원북문점  대표  정 국 현</v>
          </cell>
        </row>
        <row r="305">
          <cell r="A305">
            <v>305</v>
          </cell>
          <cell r="B305" t="str">
            <v>롯데리아부산장림점  대표  김진원,최세진</v>
          </cell>
        </row>
        <row r="306">
          <cell r="A306">
            <v>306</v>
          </cell>
          <cell r="B306" t="str">
            <v>롯데리아남포중앙점  대표  이 인 식</v>
          </cell>
        </row>
        <row r="307">
          <cell r="A307">
            <v>307</v>
          </cell>
          <cell r="B307" t="str">
            <v>롯데리아대전동양점  대표  배 희 숙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</sheetNames>
    <sheetDataSet>
      <sheetData sheetId="0" refreshError="1"/>
      <sheetData sheetId="1" refreshError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토목공사예가"/>
      <sheetName val="발주품의"/>
      <sheetName val="공내역서"/>
    </sheetNames>
    <sheetDataSet>
      <sheetData sheetId="0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내역"/>
      <sheetName val="표지"/>
      <sheetName val="특기"/>
      <sheetName val="원가"/>
      <sheetName val="내역 (2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표지)"/>
      <sheetName val="적산자료(표지)"/>
      <sheetName val="주입적산기준"/>
      <sheetName val="플랜트적산"/>
      <sheetName val="기계적산"/>
      <sheetName val="주입적산-2"/>
      <sheetName val="주입비(M3당)"/>
      <sheetName val="플랜트 설치"/>
      <sheetName val="노무비.장비.기계기구단가"/>
      <sheetName val="자재단가"/>
      <sheetName val="천공적산"/>
      <sheetName val="천공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공종</v>
          </cell>
          <cell r="B1" t="str">
            <v>규격</v>
          </cell>
          <cell r="C1" t="str">
            <v>수량</v>
          </cell>
          <cell r="D1" t="str">
            <v>단위</v>
          </cell>
          <cell r="E1" t="str">
            <v>재료비</v>
          </cell>
          <cell r="G1" t="str">
            <v>노무비</v>
          </cell>
          <cell r="I1" t="str">
            <v>경비</v>
          </cell>
          <cell r="K1" t="str">
            <v>합계</v>
          </cell>
          <cell r="M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  <cell r="K2" t="str">
            <v>단가</v>
          </cell>
          <cell r="L2" t="str">
            <v>금액</v>
          </cell>
        </row>
        <row r="3">
          <cell r="A3" t="str">
            <v>플랜트 설치 해체</v>
          </cell>
        </row>
        <row r="4">
          <cell r="A4" t="str">
            <v>갱내 할증(노무비×1.20)</v>
          </cell>
        </row>
        <row r="6">
          <cell r="A6" t="str">
            <v>플랜트설치</v>
          </cell>
        </row>
        <row r="7">
          <cell r="A7" t="str">
            <v>기계설치공</v>
          </cell>
        </row>
        <row r="8">
          <cell r="A8" t="str">
            <v>특별인부</v>
          </cell>
        </row>
        <row r="9">
          <cell r="A9" t="str">
            <v>보통인부</v>
          </cell>
        </row>
        <row r="10">
          <cell r="A10" t="str">
            <v>지게차</v>
          </cell>
        </row>
        <row r="12">
          <cell r="A12" t="str">
            <v>플랜트 배관</v>
          </cell>
        </row>
        <row r="13">
          <cell r="A13" t="str">
            <v>기계배관공</v>
          </cell>
        </row>
        <row r="14">
          <cell r="A14" t="str">
            <v>특별인부</v>
          </cell>
        </row>
        <row r="16">
          <cell r="A16" t="str">
            <v>플랜트 배선</v>
          </cell>
        </row>
        <row r="17">
          <cell r="A17" t="str">
            <v>전공</v>
          </cell>
        </row>
        <row r="18">
          <cell r="A18" t="str">
            <v>특별인부</v>
          </cell>
        </row>
        <row r="20">
          <cell r="A20" t="str">
            <v>재료적치대</v>
          </cell>
        </row>
        <row r="21">
          <cell r="A21" t="str">
            <v>형틀목공</v>
          </cell>
        </row>
        <row r="22">
          <cell r="A22" t="str">
            <v>특별인부</v>
          </cell>
        </row>
        <row r="23">
          <cell r="A23" t="str">
            <v>보통인부</v>
          </cell>
        </row>
        <row r="25">
          <cell r="A25" t="str">
            <v>시운전</v>
          </cell>
        </row>
        <row r="26">
          <cell r="A26" t="str">
            <v>기계운전원</v>
          </cell>
        </row>
        <row r="27">
          <cell r="A27" t="str">
            <v>보통인부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입찰결과(확정) (2)"/>
      <sheetName val="입찰결과(최종확정)"/>
      <sheetName val="내역총괄(최종) (2)"/>
      <sheetName val="기안용지 (2)"/>
      <sheetName val="대비일산"/>
      <sheetName val="대비일산연수"/>
      <sheetName val="연수내역"/>
      <sheetName val="연수내역원본"/>
      <sheetName val="연수내역총괄"/>
      <sheetName val="계약내역서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zoomScaleNormal="100" zoomScaleSheetLayoutView="100" workbookViewId="0">
      <selection activeCell="B18" sqref="B18"/>
    </sheetView>
  </sheetViews>
  <sheetFormatPr baseColWidth="10" defaultColWidth="8.83203125" defaultRowHeight="14"/>
  <cols>
    <col min="1" max="1" width="14.5" customWidth="1"/>
    <col min="2" max="2" width="25" customWidth="1"/>
    <col min="3" max="4" width="21.1640625" customWidth="1"/>
  </cols>
  <sheetData>
    <row r="2" spans="1:6" ht="19">
      <c r="A2" s="8">
        <v>1</v>
      </c>
      <c r="B2" s="9" t="s">
        <v>9</v>
      </c>
      <c r="C2" s="6"/>
      <c r="D2" s="6"/>
      <c r="E2" s="6"/>
      <c r="F2" s="6"/>
    </row>
    <row r="3" spans="1:6" ht="17">
      <c r="A3" s="12" t="s">
        <v>7</v>
      </c>
      <c r="B3" s="13" t="s">
        <v>8</v>
      </c>
      <c r="C3" s="13"/>
      <c r="D3" s="13"/>
      <c r="E3" s="6"/>
      <c r="F3" s="6"/>
    </row>
    <row r="4" spans="1:6" ht="30" customHeight="1">
      <c r="A4" s="15" t="s">
        <v>12</v>
      </c>
      <c r="B4" s="205" t="s">
        <v>89</v>
      </c>
      <c r="C4" s="205"/>
      <c r="D4" s="205"/>
      <c r="E4" s="6"/>
      <c r="F4" s="6"/>
    </row>
    <row r="5" spans="1:6" ht="30" customHeight="1">
      <c r="A5" s="15"/>
      <c r="B5" s="147" t="s">
        <v>88</v>
      </c>
      <c r="C5" s="148" t="s">
        <v>90</v>
      </c>
      <c r="D5" s="149"/>
      <c r="E5" s="6"/>
      <c r="F5" s="6"/>
    </row>
    <row r="6" spans="1:6" ht="30" customHeight="1">
      <c r="A6" s="15"/>
      <c r="B6" s="206"/>
      <c r="C6" s="206"/>
      <c r="D6" s="206"/>
      <c r="E6" s="6"/>
      <c r="F6" s="6"/>
    </row>
    <row r="7" spans="1:6" ht="42.75" customHeight="1">
      <c r="A7" s="15" t="s">
        <v>56</v>
      </c>
      <c r="B7" s="206" t="s">
        <v>72</v>
      </c>
      <c r="C7" s="206"/>
      <c r="D7" s="206"/>
      <c r="E7" s="6"/>
      <c r="F7" s="6"/>
    </row>
    <row r="8" spans="1:6" ht="30" customHeight="1">
      <c r="A8" s="15" t="s">
        <v>13</v>
      </c>
      <c r="B8" s="206"/>
      <c r="C8" s="206"/>
      <c r="D8" s="206"/>
      <c r="E8" s="6"/>
      <c r="F8" s="6"/>
    </row>
    <row r="9" spans="1:6" ht="30" customHeight="1">
      <c r="A9" s="15" t="s">
        <v>14</v>
      </c>
      <c r="B9" s="206"/>
      <c r="C9" s="206"/>
      <c r="D9" s="206"/>
      <c r="E9" s="6"/>
      <c r="F9" s="6"/>
    </row>
    <row r="10" spans="1:6" ht="30" customHeight="1">
      <c r="A10" s="15" t="s">
        <v>52</v>
      </c>
      <c r="B10" s="206" t="s">
        <v>73</v>
      </c>
      <c r="C10" s="206"/>
      <c r="D10" s="206"/>
      <c r="E10" s="6"/>
      <c r="F10" s="6"/>
    </row>
    <row r="11" spans="1:6" ht="30" customHeight="1">
      <c r="A11" s="15" t="s">
        <v>15</v>
      </c>
      <c r="B11" s="207" t="s">
        <v>91</v>
      </c>
      <c r="C11" s="208"/>
      <c r="D11" s="209"/>
      <c r="E11" s="6"/>
      <c r="F11" s="6"/>
    </row>
    <row r="12" spans="1:6" ht="30" customHeight="1">
      <c r="A12" s="15"/>
      <c r="B12" s="1" t="s">
        <v>74</v>
      </c>
      <c r="C12" s="144"/>
      <c r="D12" s="145"/>
      <c r="E12" s="6"/>
      <c r="F12" s="6"/>
    </row>
    <row r="13" spans="1:6" ht="30" customHeight="1">
      <c r="A13" s="16" t="s">
        <v>18</v>
      </c>
      <c r="B13" s="146" t="s">
        <v>92</v>
      </c>
      <c r="C13" s="144"/>
      <c r="D13" s="145"/>
      <c r="E13" s="6"/>
      <c r="F13" s="6"/>
    </row>
    <row r="14" spans="1:6" ht="30" customHeight="1">
      <c r="A14" s="15" t="s">
        <v>55</v>
      </c>
      <c r="B14" s="207" t="s">
        <v>93</v>
      </c>
      <c r="C14" s="208"/>
      <c r="D14" s="209"/>
      <c r="E14" s="6"/>
      <c r="F14" s="6"/>
    </row>
    <row r="15" spans="1:6" ht="30" customHeight="1">
      <c r="A15" s="15" t="s">
        <v>16</v>
      </c>
      <c r="B15" s="60" t="s">
        <v>94</v>
      </c>
      <c r="C15" s="15"/>
      <c r="D15" s="15"/>
      <c r="E15" s="6"/>
      <c r="F15" s="6"/>
    </row>
    <row r="16" spans="1:6">
      <c r="A16" s="10"/>
      <c r="B16" s="6"/>
      <c r="C16" s="6"/>
      <c r="D16" s="6"/>
      <c r="E16" s="6"/>
      <c r="F16" s="6"/>
    </row>
    <row r="17" spans="1:6" ht="33" customHeight="1">
      <c r="A17" s="8">
        <v>2</v>
      </c>
      <c r="B17" s="203" t="s">
        <v>10</v>
      </c>
      <c r="C17" s="204"/>
      <c r="D17" s="204"/>
      <c r="E17" s="6"/>
      <c r="F17" s="6"/>
    </row>
    <row r="18" spans="1:6" ht="19">
      <c r="A18" s="11" t="s">
        <v>11</v>
      </c>
      <c r="B18" s="202" t="s">
        <v>94</v>
      </c>
      <c r="C18" s="15"/>
      <c r="D18" s="15"/>
      <c r="E18" s="6"/>
      <c r="F18" s="6"/>
    </row>
    <row r="19" spans="1:6" ht="24" customHeight="1">
      <c r="A19" s="14" t="s">
        <v>17</v>
      </c>
      <c r="B19" s="17">
        <v>2600000</v>
      </c>
      <c r="C19" s="17"/>
      <c r="D19" s="17"/>
      <c r="E19" s="7"/>
      <c r="F19" s="6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R52"/>
  <sheetViews>
    <sheetView view="pageBreakPreview" topLeftCell="A40" zoomScaleNormal="100" zoomScaleSheetLayoutView="100" workbookViewId="0">
      <selection activeCell="Q55" sqref="Q55"/>
    </sheetView>
  </sheetViews>
  <sheetFormatPr baseColWidth="10" defaultColWidth="8.83203125" defaultRowHeight="14"/>
  <cols>
    <col min="1" max="1" width="8.83203125" customWidth="1"/>
    <col min="2" max="5" width="5.6640625" customWidth="1"/>
    <col min="6" max="6" width="3.1640625" customWidth="1"/>
    <col min="7" max="13" width="5.6640625" customWidth="1"/>
    <col min="14" max="14" width="5.33203125" customWidth="1"/>
    <col min="15" max="15" width="5" customWidth="1"/>
    <col min="16" max="16" width="6.5" customWidth="1"/>
  </cols>
  <sheetData>
    <row r="1" spans="2:15">
      <c r="B1" s="44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2:15">
      <c r="B2" s="45"/>
      <c r="O2" s="46"/>
    </row>
    <row r="3" spans="2:15">
      <c r="B3" s="45"/>
      <c r="O3" s="46"/>
    </row>
    <row r="4" spans="2:15">
      <c r="B4" s="45"/>
      <c r="O4" s="46"/>
    </row>
    <row r="5" spans="2:15">
      <c r="B5" s="45"/>
      <c r="O5" s="46"/>
    </row>
    <row r="6" spans="2:15" ht="24.75" customHeight="1">
      <c r="B6" s="45"/>
      <c r="C6" s="127"/>
      <c r="D6" s="127"/>
      <c r="E6" s="127"/>
      <c r="L6" s="210"/>
      <c r="M6" s="210"/>
      <c r="N6" s="210"/>
      <c r="O6" s="211"/>
    </row>
    <row r="7" spans="2:15" ht="52">
      <c r="B7" s="213" t="str">
        <f>개요!B5</f>
        <v>시설물 정기안전점검 견적서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5"/>
    </row>
    <row r="8" spans="2:15" ht="9" customHeight="1">
      <c r="B8" s="58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9"/>
    </row>
    <row r="9" spans="2:15" ht="39.75" customHeight="1">
      <c r="B9" s="224" t="str">
        <f>개요!B4</f>
        <v>탄현지구미주8차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5"/>
    </row>
    <row r="10" spans="2:15" ht="25" customHeight="1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</row>
    <row r="11" spans="2:15" ht="23.25" customHeight="1">
      <c r="B11" s="3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39"/>
    </row>
    <row r="12" spans="2:15" ht="25" customHeight="1">
      <c r="B12" s="38"/>
      <c r="C12" s="18"/>
      <c r="D12" s="18"/>
      <c r="E12" s="18"/>
      <c r="F12" s="222"/>
      <c r="G12" s="222"/>
      <c r="H12" s="222"/>
      <c r="I12" s="222"/>
      <c r="J12" s="222"/>
      <c r="K12" s="18"/>
      <c r="L12" s="18"/>
      <c r="M12" s="18"/>
      <c r="N12" s="18"/>
      <c r="O12" s="39"/>
    </row>
    <row r="13" spans="2:15" ht="25" customHeight="1">
      <c r="B13" s="4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5"/>
    </row>
    <row r="14" spans="2:15" ht="25" customHeight="1">
      <c r="B14" s="4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5"/>
    </row>
    <row r="15" spans="2:15" ht="25" customHeight="1">
      <c r="B15" s="4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5"/>
    </row>
    <row r="16" spans="2:15" ht="25" customHeight="1">
      <c r="B16" s="40"/>
      <c r="C16" s="19"/>
      <c r="D16" s="19"/>
      <c r="E16" s="19"/>
      <c r="F16" s="19"/>
      <c r="G16" s="226"/>
      <c r="H16" s="226"/>
      <c r="I16" s="226"/>
      <c r="J16" s="226"/>
      <c r="K16" s="19"/>
      <c r="L16" s="19"/>
      <c r="M16" s="19"/>
      <c r="N16" s="19"/>
      <c r="O16" s="25"/>
    </row>
    <row r="17" spans="2:15" ht="25" customHeight="1">
      <c r="B17" s="40"/>
      <c r="C17" s="19"/>
      <c r="D17" s="19"/>
      <c r="E17" s="19"/>
      <c r="F17" s="19"/>
      <c r="G17" s="19"/>
      <c r="H17" s="19"/>
      <c r="I17" s="19"/>
      <c r="J17" s="48"/>
      <c r="K17" s="19"/>
      <c r="L17" s="19"/>
      <c r="M17" s="19"/>
      <c r="N17" s="19"/>
      <c r="O17" s="25"/>
    </row>
    <row r="18" spans="2:15" ht="25" customHeight="1">
      <c r="B18" s="40"/>
      <c r="C18" s="19"/>
      <c r="D18" s="19"/>
      <c r="E18" s="19"/>
      <c r="F18" s="19"/>
      <c r="G18" s="19"/>
      <c r="H18" s="19"/>
      <c r="I18" s="19"/>
      <c r="J18" s="48"/>
      <c r="K18" s="19"/>
      <c r="L18" s="19"/>
      <c r="M18" s="19"/>
      <c r="N18" s="19"/>
      <c r="O18" s="25"/>
    </row>
    <row r="19" spans="2:15" ht="25" customHeight="1">
      <c r="B19" s="4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5"/>
    </row>
    <row r="20" spans="2:15" ht="25" customHeight="1">
      <c r="B20" s="219">
        <f>개요!B9</f>
        <v>0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1"/>
    </row>
    <row r="21" spans="2:15" ht="25" customHeight="1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</row>
    <row r="22" spans="2:15" ht="25" customHeight="1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</row>
    <row r="23" spans="2:15" ht="24" customHeight="1">
      <c r="B23" s="4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5"/>
    </row>
    <row r="24" spans="2:15" ht="24" customHeight="1">
      <c r="B24" s="4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5"/>
    </row>
    <row r="25" spans="2:15" ht="24" customHeight="1">
      <c r="B25" s="26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5"/>
    </row>
    <row r="26" spans="2:15" ht="39.75" customHeight="1">
      <c r="B26" s="45"/>
      <c r="C26" s="120"/>
      <c r="D26" s="120"/>
      <c r="E26" s="120"/>
      <c r="F26" s="135" t="s">
        <v>57</v>
      </c>
      <c r="H26" s="120"/>
      <c r="I26" s="120"/>
      <c r="J26" s="120"/>
      <c r="K26" s="120"/>
      <c r="L26" s="120"/>
      <c r="M26" s="120"/>
      <c r="N26" s="120"/>
      <c r="O26" s="121"/>
    </row>
    <row r="27" spans="2:15" ht="25" customHeight="1">
      <c r="B27" s="45"/>
      <c r="C27" s="122"/>
      <c r="D27" s="122"/>
      <c r="E27" s="120"/>
      <c r="F27" s="223" t="s">
        <v>70</v>
      </c>
      <c r="G27" s="223"/>
      <c r="H27" s="223"/>
      <c r="I27" s="223"/>
      <c r="J27" s="223"/>
      <c r="K27" s="223"/>
      <c r="L27" s="223"/>
      <c r="M27" s="223"/>
      <c r="N27" s="125"/>
      <c r="O27" s="126"/>
    </row>
    <row r="28" spans="2:15" ht="25" customHeight="1">
      <c r="B28" s="45"/>
      <c r="C28" s="122"/>
      <c r="D28" s="122"/>
      <c r="E28" s="120"/>
      <c r="F28" s="218" t="s">
        <v>48</v>
      </c>
      <c r="G28" s="218"/>
      <c r="H28" s="218"/>
      <c r="I28" s="218"/>
      <c r="J28" s="218"/>
      <c r="K28" s="218"/>
      <c r="L28" s="218"/>
      <c r="M28" s="218"/>
      <c r="N28" s="125"/>
      <c r="O28" s="126"/>
    </row>
    <row r="29" spans="2:15" ht="25" customHeight="1" thickBot="1">
      <c r="B29" s="116"/>
      <c r="C29" s="115"/>
      <c r="D29" s="115"/>
      <c r="E29" s="115"/>
      <c r="F29" s="115"/>
      <c r="G29" s="117"/>
      <c r="H29" s="117"/>
      <c r="I29" s="117"/>
      <c r="J29" s="117"/>
      <c r="K29" s="117"/>
      <c r="L29" s="117"/>
      <c r="M29" s="117"/>
      <c r="N29" s="117"/>
      <c r="O29" s="118"/>
    </row>
    <row r="30" spans="2:15" ht="24.75" customHeight="1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2:15" ht="35" customHeight="1" thickBot="1"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5"/>
    </row>
    <row r="32" spans="2:15" ht="35" customHeight="1" thickBot="1">
      <c r="B32" s="26"/>
      <c r="C32" s="49">
        <v>1</v>
      </c>
      <c r="D32" s="216" t="s">
        <v>9</v>
      </c>
      <c r="E32" s="216"/>
      <c r="F32" s="216"/>
      <c r="G32" s="216"/>
      <c r="H32" s="216"/>
      <c r="I32" s="216"/>
      <c r="J32" s="216"/>
      <c r="K32" s="216"/>
      <c r="L32" s="216"/>
      <c r="M32" s="216"/>
      <c r="N32" s="217"/>
      <c r="O32" s="25"/>
    </row>
    <row r="33" spans="2:18" ht="35" customHeight="1">
      <c r="B33" s="26"/>
      <c r="C33" s="19"/>
      <c r="D33" s="31" t="s">
        <v>67</v>
      </c>
      <c r="E33" s="3"/>
      <c r="F33" s="31"/>
      <c r="G33" s="228" t="str">
        <f>개요!B4</f>
        <v>탄현지구미주8차</v>
      </c>
      <c r="H33" s="228"/>
      <c r="I33" s="228"/>
      <c r="J33" s="228"/>
      <c r="K33" s="228"/>
      <c r="L33" s="228"/>
      <c r="M33" s="228"/>
      <c r="N33" s="228"/>
      <c r="O33" s="119"/>
    </row>
    <row r="34" spans="2:18" ht="35" customHeight="1">
      <c r="B34" s="26"/>
      <c r="C34" s="19"/>
      <c r="D34" s="31" t="s">
        <v>65</v>
      </c>
      <c r="E34" s="3"/>
      <c r="F34" s="31"/>
      <c r="G34" s="228">
        <f>개요!B8</f>
        <v>0</v>
      </c>
      <c r="H34" s="228"/>
      <c r="I34" s="228"/>
      <c r="J34" s="228"/>
      <c r="K34" s="228"/>
      <c r="L34" s="228"/>
      <c r="M34" s="228"/>
      <c r="N34" s="228"/>
      <c r="O34" s="119"/>
    </row>
    <row r="35" spans="2:18" ht="35" customHeight="1">
      <c r="B35" s="26"/>
      <c r="C35" s="19"/>
      <c r="D35" s="31" t="s">
        <v>66</v>
      </c>
      <c r="E35" s="3"/>
      <c r="F35" s="31"/>
      <c r="G35" s="228" t="str">
        <f>개요!B11</f>
        <v>지하1층~지상13층(연면적 : 29,369.45m²)</v>
      </c>
      <c r="H35" s="228"/>
      <c r="I35" s="228"/>
      <c r="J35" s="228"/>
      <c r="K35" s="228"/>
      <c r="L35" s="228"/>
      <c r="M35" s="228"/>
      <c r="N35" s="228"/>
      <c r="O35" s="119"/>
    </row>
    <row r="36" spans="2:18" ht="35" customHeight="1">
      <c r="B36" s="26"/>
      <c r="C36" s="19"/>
      <c r="D36" s="31" t="s">
        <v>25</v>
      </c>
      <c r="E36" s="3"/>
      <c r="F36" s="31"/>
      <c r="G36" s="231" t="str">
        <f>개요!B13</f>
        <v>1991년 09월 05일</v>
      </c>
      <c r="H36" s="231"/>
      <c r="I36" s="231"/>
      <c r="J36" s="231"/>
      <c r="K36" s="231"/>
      <c r="L36" s="231"/>
      <c r="M36" s="231"/>
      <c r="N36" s="132"/>
      <c r="O36" s="27"/>
    </row>
    <row r="37" spans="2:18" ht="35" customHeight="1" thickBot="1">
      <c r="B37" s="24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7"/>
    </row>
    <row r="38" spans="2:18" ht="35" customHeight="1" thickBot="1">
      <c r="B38" s="26"/>
      <c r="C38" s="49">
        <v>2</v>
      </c>
      <c r="D38" s="216" t="s">
        <v>24</v>
      </c>
      <c r="E38" s="216"/>
      <c r="F38" s="216"/>
      <c r="G38" s="216"/>
      <c r="H38" s="216"/>
      <c r="I38" s="216"/>
      <c r="J38" s="216"/>
      <c r="K38" s="216"/>
      <c r="L38" s="216"/>
      <c r="M38" s="216"/>
      <c r="N38" s="217"/>
      <c r="O38" s="25"/>
    </row>
    <row r="39" spans="2:18" ht="35" customHeight="1">
      <c r="B39" s="26"/>
      <c r="C39" s="19"/>
      <c r="D39" s="212" t="s">
        <v>19</v>
      </c>
      <c r="E39" s="212"/>
      <c r="F39" s="212"/>
      <c r="G39" s="128"/>
      <c r="H39" s="128"/>
      <c r="I39" s="128"/>
      <c r="J39" s="128"/>
      <c r="K39" s="128"/>
      <c r="L39" s="128"/>
      <c r="N39" s="132"/>
      <c r="O39" s="28"/>
    </row>
    <row r="40" spans="2:18" ht="35" customHeight="1">
      <c r="B40" s="26"/>
      <c r="C40" s="19"/>
      <c r="D40" s="223" t="s">
        <v>31</v>
      </c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129"/>
    </row>
    <row r="41" spans="2:18" ht="35" customHeight="1">
      <c r="B41" s="26"/>
      <c r="C41" s="19"/>
      <c r="D41" s="223" t="s">
        <v>49</v>
      </c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129"/>
    </row>
    <row r="42" spans="2:18" ht="28.5" customHeight="1">
      <c r="B42" s="26"/>
      <c r="C42" s="19"/>
      <c r="D42" s="1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0"/>
    </row>
    <row r="43" spans="2:18" ht="35" customHeight="1">
      <c r="B43" s="26"/>
      <c r="C43" s="19"/>
      <c r="D43" s="128" t="s">
        <v>20</v>
      </c>
      <c r="E43" s="128"/>
      <c r="F43" s="128"/>
      <c r="G43" s="128"/>
      <c r="H43" s="128"/>
      <c r="I43" s="229" t="s">
        <v>77</v>
      </c>
      <c r="J43" s="230"/>
      <c r="K43" s="230"/>
      <c r="L43" s="230"/>
      <c r="M43" s="230"/>
      <c r="N43" s="230"/>
      <c r="O43" s="28"/>
      <c r="Q43" s="61"/>
      <c r="R43" s="61"/>
    </row>
    <row r="44" spans="2:18" ht="35" customHeight="1">
      <c r="B44" s="26"/>
      <c r="C44" s="19"/>
      <c r="D44" s="130" t="s">
        <v>61</v>
      </c>
      <c r="E44" s="134"/>
      <c r="F44" s="131"/>
      <c r="G44" s="232" t="str">
        <f>대가산출!D3</f>
        <v>일금 이백육십만원정(₩2,600,000) - VAT 별도</v>
      </c>
      <c r="H44" s="232"/>
      <c r="I44" s="232"/>
      <c r="J44" s="232"/>
      <c r="K44" s="232"/>
      <c r="L44" s="232"/>
      <c r="M44" s="232"/>
      <c r="N44" s="232"/>
      <c r="O44" s="28"/>
    </row>
    <row r="45" spans="2:18" ht="35" customHeight="1">
      <c r="B45" s="26"/>
      <c r="C45" s="19"/>
      <c r="D45" s="223" t="s">
        <v>62</v>
      </c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123"/>
    </row>
    <row r="46" spans="2:18" ht="22.5" customHeight="1">
      <c r="B46" s="26"/>
      <c r="C46" s="19"/>
      <c r="D46" s="19"/>
      <c r="E46" s="31"/>
      <c r="F46" s="31"/>
      <c r="G46" s="31"/>
      <c r="H46" s="31"/>
      <c r="I46" s="31"/>
      <c r="J46" s="31"/>
      <c r="K46" s="31"/>
      <c r="L46" s="31"/>
      <c r="M46" s="31"/>
      <c r="N46" s="132"/>
      <c r="O46" s="28"/>
    </row>
    <row r="47" spans="2:18" ht="12.75" customHeight="1" thickBot="1">
      <c r="B47" s="32"/>
      <c r="C47" s="19"/>
      <c r="D47" s="19"/>
      <c r="E47" s="31"/>
      <c r="F47" s="31"/>
      <c r="G47" s="31"/>
      <c r="H47" s="31"/>
      <c r="I47" s="31"/>
      <c r="J47" s="31"/>
      <c r="K47" s="31"/>
      <c r="L47" s="31"/>
      <c r="M47" s="31"/>
      <c r="N47" s="19"/>
      <c r="O47" s="25"/>
    </row>
    <row r="48" spans="2:18" ht="35" customHeight="1" thickBot="1">
      <c r="B48" s="32"/>
      <c r="C48" s="49">
        <v>3</v>
      </c>
      <c r="D48" s="216" t="s">
        <v>246</v>
      </c>
      <c r="E48" s="216"/>
      <c r="F48" s="216"/>
      <c r="G48" s="216"/>
      <c r="H48" s="216"/>
      <c r="I48" s="216"/>
      <c r="J48" s="216"/>
      <c r="K48" s="216"/>
      <c r="L48" s="216"/>
      <c r="M48" s="216"/>
      <c r="N48" s="217"/>
      <c r="O48" s="25"/>
    </row>
    <row r="49" spans="2:15" ht="77.25" customHeight="1" thickBot="1">
      <c r="B49" s="33"/>
      <c r="C49" s="34"/>
      <c r="D49" s="34"/>
      <c r="E49" s="227"/>
      <c r="F49" s="227"/>
      <c r="G49" s="227"/>
      <c r="H49" s="227"/>
      <c r="I49" s="227"/>
      <c r="J49" s="227"/>
      <c r="K49" s="227"/>
      <c r="L49" s="227"/>
      <c r="M49" s="227"/>
      <c r="N49" s="133"/>
      <c r="O49" s="35"/>
    </row>
    <row r="50" spans="2:15" ht="17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7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7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</sheetData>
  <mergeCells count="22">
    <mergeCell ref="E49:M49"/>
    <mergeCell ref="G33:N33"/>
    <mergeCell ref="G34:N34"/>
    <mergeCell ref="G35:N35"/>
    <mergeCell ref="I43:N43"/>
    <mergeCell ref="D48:N48"/>
    <mergeCell ref="D45:N45"/>
    <mergeCell ref="D40:N40"/>
    <mergeCell ref="G36:M36"/>
    <mergeCell ref="D41:N41"/>
    <mergeCell ref="G44:N44"/>
    <mergeCell ref="L6:O6"/>
    <mergeCell ref="D39:F39"/>
    <mergeCell ref="B7:O7"/>
    <mergeCell ref="D32:N32"/>
    <mergeCell ref="D38:N38"/>
    <mergeCell ref="F28:M28"/>
    <mergeCell ref="B20:O20"/>
    <mergeCell ref="F12:J12"/>
    <mergeCell ref="F27:M27"/>
    <mergeCell ref="B9:O9"/>
    <mergeCell ref="G16:J16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view="pageBreakPreview" topLeftCell="A7" zoomScaleNormal="100" zoomScaleSheetLayoutView="100" workbookViewId="0">
      <selection activeCell="F22" sqref="F22"/>
    </sheetView>
  </sheetViews>
  <sheetFormatPr baseColWidth="10" defaultColWidth="8.83203125" defaultRowHeight="14"/>
  <cols>
    <col min="1" max="1" width="8.83203125" customWidth="1"/>
    <col min="2" max="3" width="10.83203125" customWidth="1"/>
    <col min="4" max="5" width="9.83203125" customWidth="1"/>
    <col min="6" max="7" width="5.83203125" style="54" customWidth="1"/>
    <col min="8" max="8" width="12.83203125" customWidth="1"/>
    <col min="9" max="9" width="14.83203125" style="52" customWidth="1"/>
  </cols>
  <sheetData>
    <row r="1" spans="2:9" ht="32.25" customHeight="1">
      <c r="B1" s="249" t="s">
        <v>76</v>
      </c>
      <c r="C1" s="249"/>
      <c r="D1" s="249"/>
      <c r="E1" s="249"/>
      <c r="F1" s="249"/>
      <c r="G1" s="249"/>
      <c r="H1" s="249"/>
      <c r="I1" s="249"/>
    </row>
    <row r="2" spans="2:9" s="5" customFormat="1" ht="21.75" customHeight="1" thickBot="1">
      <c r="B2" s="142"/>
      <c r="C2" s="142"/>
      <c r="D2" s="142"/>
      <c r="E2" s="142"/>
      <c r="F2" s="142"/>
      <c r="G2" s="142"/>
      <c r="H2" s="261" t="str">
        <f>개요!B11</f>
        <v>지하1층~지상13층(연면적 : 29,369.45m²)</v>
      </c>
      <c r="I2" s="261"/>
    </row>
    <row r="3" spans="2:9" s="2" customFormat="1" ht="34.5" customHeight="1" thickBot="1">
      <c r="B3" s="262" t="s">
        <v>27</v>
      </c>
      <c r="C3" s="263"/>
      <c r="D3" s="258" t="s">
        <v>95</v>
      </c>
      <c r="E3" s="259"/>
      <c r="F3" s="259"/>
      <c r="G3" s="259"/>
      <c r="H3" s="259"/>
      <c r="I3" s="260"/>
    </row>
    <row r="4" spans="2:9" s="2" customFormat="1" ht="32.25" hidden="1" customHeight="1">
      <c r="B4" s="250" t="s">
        <v>53</v>
      </c>
      <c r="C4" s="251"/>
      <c r="D4" s="254" t="e">
        <f>"일금 "&amp;NUMBERSTRING(H29,1)&amp;"원정"&amp;TEXT(H29,"(￦ #,##0)")&amp;" "</f>
        <v>#N/A</v>
      </c>
      <c r="E4" s="254"/>
      <c r="F4" s="254"/>
      <c r="G4" s="254"/>
      <c r="H4" s="254"/>
      <c r="I4" s="255"/>
    </row>
    <row r="5" spans="2:9" s="2" customFormat="1" ht="32.25" hidden="1" customHeight="1" thickBot="1">
      <c r="B5" s="252" t="s">
        <v>54</v>
      </c>
      <c r="C5" s="253"/>
      <c r="D5" s="256" t="e">
        <f>"일금 "&amp;NUMBERSTRING(H30,1)&amp;"원정"&amp;TEXT(H30,"(￦ #,##0)")&amp;" "</f>
        <v>#VALUE!</v>
      </c>
      <c r="E5" s="256"/>
      <c r="F5" s="256"/>
      <c r="G5" s="256"/>
      <c r="H5" s="256"/>
      <c r="I5" s="257"/>
    </row>
    <row r="6" spans="2:9" s="2" customFormat="1" ht="32" customHeight="1" thickBot="1">
      <c r="B6" s="235" t="s">
        <v>47</v>
      </c>
      <c r="C6" s="236"/>
      <c r="D6" s="236"/>
      <c r="E6" s="236"/>
      <c r="F6" s="236"/>
      <c r="G6" s="236"/>
      <c r="H6" s="236"/>
      <c r="I6" s="237"/>
    </row>
    <row r="7" spans="2:9" s="4" customFormat="1" ht="30" customHeight="1" thickBot="1">
      <c r="B7" s="238" t="s">
        <v>23</v>
      </c>
      <c r="C7" s="239"/>
      <c r="D7" s="75" t="s">
        <v>6</v>
      </c>
      <c r="E7" s="75" t="s">
        <v>21</v>
      </c>
      <c r="F7" s="75" t="s">
        <v>41</v>
      </c>
      <c r="G7" s="75" t="s">
        <v>245</v>
      </c>
      <c r="H7" s="75" t="s">
        <v>1</v>
      </c>
      <c r="I7" s="76" t="s">
        <v>22</v>
      </c>
    </row>
    <row r="8" spans="2:9" s="4" customFormat="1" ht="28" customHeight="1">
      <c r="B8" s="244" t="s">
        <v>45</v>
      </c>
      <c r="C8" s="245"/>
      <c r="D8" s="79"/>
      <c r="E8" s="79"/>
      <c r="F8" s="79"/>
      <c r="G8" s="79"/>
      <c r="H8" s="80">
        <f>INT(SUM(H9,H10,H11,H12,H13,H14,H15,H16))</f>
        <v>2170880</v>
      </c>
      <c r="I8" s="139" t="s">
        <v>68</v>
      </c>
    </row>
    <row r="9" spans="2:9" s="4" customFormat="1" ht="18" customHeight="1">
      <c r="B9" s="77"/>
      <c r="C9" s="81" t="s">
        <v>32</v>
      </c>
      <c r="D9" s="82" t="s">
        <v>3</v>
      </c>
      <c r="E9" s="83">
        <v>335638</v>
      </c>
      <c r="F9" s="82" t="s">
        <v>42</v>
      </c>
      <c r="G9" s="82">
        <v>1</v>
      </c>
      <c r="H9" s="84">
        <f>INT(E9*G9)</f>
        <v>335638</v>
      </c>
      <c r="I9" s="78"/>
    </row>
    <row r="10" spans="2:9" s="4" customFormat="1" ht="18" customHeight="1">
      <c r="B10" s="55"/>
      <c r="C10" s="85"/>
      <c r="D10" s="86" t="s">
        <v>4</v>
      </c>
      <c r="E10" s="87">
        <v>282545</v>
      </c>
      <c r="F10" s="86" t="s">
        <v>42</v>
      </c>
      <c r="G10" s="103">
        <v>1</v>
      </c>
      <c r="H10" s="84">
        <f t="shared" ref="H10:H16" si="0">INT(E10*G10)</f>
        <v>282545</v>
      </c>
      <c r="I10" s="51"/>
    </row>
    <row r="11" spans="2:9" s="4" customFormat="1" ht="18" customHeight="1">
      <c r="B11" s="55"/>
      <c r="C11" s="85"/>
      <c r="D11" s="86" t="s">
        <v>50</v>
      </c>
      <c r="E11" s="87">
        <v>261571</v>
      </c>
      <c r="F11" s="86" t="s">
        <v>42</v>
      </c>
      <c r="G11" s="103">
        <v>1</v>
      </c>
      <c r="H11" s="84">
        <f t="shared" si="0"/>
        <v>261571</v>
      </c>
      <c r="I11" s="51"/>
    </row>
    <row r="12" spans="2:9" s="4" customFormat="1" ht="18" customHeight="1">
      <c r="B12" s="55"/>
      <c r="C12" s="85"/>
      <c r="D12" s="86" t="s">
        <v>51</v>
      </c>
      <c r="E12" s="87">
        <v>205686</v>
      </c>
      <c r="F12" s="86" t="s">
        <v>42</v>
      </c>
      <c r="G12" s="103">
        <v>1</v>
      </c>
      <c r="H12" s="84">
        <f t="shared" si="0"/>
        <v>205686</v>
      </c>
      <c r="I12" s="51"/>
    </row>
    <row r="13" spans="2:9" s="4" customFormat="1" ht="18" customHeight="1">
      <c r="B13" s="56"/>
      <c r="C13" s="88" t="s">
        <v>33</v>
      </c>
      <c r="D13" s="86" t="s">
        <v>3</v>
      </c>
      <c r="E13" s="87">
        <v>335638</v>
      </c>
      <c r="F13" s="86" t="s">
        <v>42</v>
      </c>
      <c r="G13" s="103">
        <v>1</v>
      </c>
      <c r="H13" s="84">
        <f t="shared" si="0"/>
        <v>335638</v>
      </c>
      <c r="I13" s="51"/>
    </row>
    <row r="14" spans="2:9" s="4" customFormat="1" ht="18" customHeight="1">
      <c r="B14" s="55"/>
      <c r="C14" s="85"/>
      <c r="D14" s="86" t="s">
        <v>4</v>
      </c>
      <c r="E14" s="87">
        <v>282545</v>
      </c>
      <c r="F14" s="86" t="s">
        <v>42</v>
      </c>
      <c r="G14" s="103">
        <v>1</v>
      </c>
      <c r="H14" s="84">
        <f t="shared" si="0"/>
        <v>282545</v>
      </c>
      <c r="I14" s="51"/>
    </row>
    <row r="15" spans="2:9" s="4" customFormat="1" ht="18" customHeight="1">
      <c r="B15" s="55"/>
      <c r="C15" s="85"/>
      <c r="D15" s="86" t="s">
        <v>50</v>
      </c>
      <c r="E15" s="87">
        <v>261571</v>
      </c>
      <c r="F15" s="86" t="s">
        <v>42</v>
      </c>
      <c r="G15" s="103">
        <v>1</v>
      </c>
      <c r="H15" s="84">
        <f t="shared" si="0"/>
        <v>261571</v>
      </c>
      <c r="I15" s="51"/>
    </row>
    <row r="16" spans="2:9" s="4" customFormat="1" ht="18" customHeight="1">
      <c r="B16" s="55"/>
      <c r="C16" s="85"/>
      <c r="D16" s="86" t="s">
        <v>51</v>
      </c>
      <c r="E16" s="87">
        <v>205686</v>
      </c>
      <c r="F16" s="86" t="s">
        <v>42</v>
      </c>
      <c r="G16" s="103">
        <v>1</v>
      </c>
      <c r="H16" s="84">
        <f t="shared" si="0"/>
        <v>205686</v>
      </c>
      <c r="I16" s="51"/>
    </row>
    <row r="17" spans="2:13" s="4" customFormat="1" ht="28" customHeight="1">
      <c r="B17" s="242" t="s">
        <v>28</v>
      </c>
      <c r="C17" s="243"/>
      <c r="D17" s="65"/>
      <c r="E17" s="66"/>
      <c r="F17" s="67" t="s">
        <v>44</v>
      </c>
      <c r="G17" s="67">
        <v>5</v>
      </c>
      <c r="H17" s="68">
        <f>ROUND(H8*G17%, 0)</f>
        <v>108544</v>
      </c>
      <c r="I17" s="69" t="s">
        <v>71</v>
      </c>
    </row>
    <row r="18" spans="2:13" s="4" customFormat="1" ht="28" customHeight="1">
      <c r="B18" s="242" t="s">
        <v>29</v>
      </c>
      <c r="C18" s="243"/>
      <c r="D18" s="65"/>
      <c r="E18" s="66"/>
      <c r="F18" s="67" t="s">
        <v>44</v>
      </c>
      <c r="G18" s="67">
        <v>5</v>
      </c>
      <c r="H18" s="70">
        <f>ROUND((H8+H17)*G18%, 0)</f>
        <v>113971</v>
      </c>
      <c r="I18" s="69" t="s">
        <v>96</v>
      </c>
    </row>
    <row r="19" spans="2:13" s="4" customFormat="1" ht="28" customHeight="1">
      <c r="B19" s="242" t="s">
        <v>30</v>
      </c>
      <c r="C19" s="243"/>
      <c r="D19" s="71"/>
      <c r="E19" s="72"/>
      <c r="F19" s="73"/>
      <c r="G19" s="73"/>
      <c r="H19" s="70">
        <f>INT(SUM(H21,H22,H23,H24,H25,))</f>
        <v>181961</v>
      </c>
      <c r="I19" s="69"/>
    </row>
    <row r="20" spans="2:13" s="4" customFormat="1" ht="18" customHeight="1">
      <c r="B20" s="89" t="s">
        <v>34</v>
      </c>
      <c r="C20" s="90"/>
      <c r="D20" s="90"/>
      <c r="E20" s="91"/>
      <c r="F20" s="92"/>
      <c r="G20" s="92"/>
      <c r="H20" s="93"/>
      <c r="I20" s="94"/>
    </row>
    <row r="21" spans="2:13" s="4" customFormat="1" ht="18" customHeight="1">
      <c r="B21" s="95" t="s">
        <v>35</v>
      </c>
      <c r="C21" s="96"/>
      <c r="D21" s="96"/>
      <c r="E21" s="97">
        <v>20000</v>
      </c>
      <c r="F21" s="82">
        <v>1</v>
      </c>
      <c r="G21" s="82"/>
      <c r="H21" s="98">
        <f>G21*E21*F21</f>
        <v>0</v>
      </c>
      <c r="I21" s="53"/>
      <c r="M21" s="107"/>
    </row>
    <row r="22" spans="2:13" s="4" customFormat="1" ht="18" customHeight="1">
      <c r="B22" s="99" t="s">
        <v>36</v>
      </c>
      <c r="C22" s="100"/>
      <c r="D22" s="100"/>
      <c r="E22" s="97">
        <v>10000</v>
      </c>
      <c r="F22" s="82">
        <v>1</v>
      </c>
      <c r="G22" s="82"/>
      <c r="H22" s="101">
        <f>G22*E22*F22</f>
        <v>0</v>
      </c>
      <c r="I22" s="53"/>
    </row>
    <row r="23" spans="2:13" s="4" customFormat="1" ht="18" customHeight="1">
      <c r="B23" s="99" t="s">
        <v>37</v>
      </c>
      <c r="C23" s="86"/>
      <c r="D23" s="100"/>
      <c r="E23" s="50"/>
      <c r="F23" s="86" t="s">
        <v>43</v>
      </c>
      <c r="G23" s="104">
        <v>8</v>
      </c>
      <c r="H23" s="101">
        <f>ROUND((SUM(H9:H12))*G23%, 0)</f>
        <v>86835</v>
      </c>
      <c r="I23" s="53" t="s">
        <v>78</v>
      </c>
    </row>
    <row r="24" spans="2:13" s="4" customFormat="1" ht="18" customHeight="1">
      <c r="B24" s="99" t="s">
        <v>38</v>
      </c>
      <c r="C24" s="86"/>
      <c r="D24" s="100"/>
      <c r="E24" s="50"/>
      <c r="F24" s="86" t="s">
        <v>43</v>
      </c>
      <c r="G24" s="105">
        <v>3</v>
      </c>
      <c r="H24" s="101">
        <f>ROUND(H8*G24%, 0)</f>
        <v>65126</v>
      </c>
      <c r="I24" s="53" t="s">
        <v>64</v>
      </c>
    </row>
    <row r="25" spans="2:13" s="4" customFormat="1" ht="18" customHeight="1">
      <c r="B25" s="108" t="s">
        <v>39</v>
      </c>
      <c r="C25" s="106"/>
      <c r="D25" s="102"/>
      <c r="E25" s="109">
        <v>30000</v>
      </c>
      <c r="F25" s="103" t="s">
        <v>0</v>
      </c>
      <c r="G25" s="110">
        <v>1</v>
      </c>
      <c r="H25" s="111">
        <f>INT(G25*E25)</f>
        <v>30000</v>
      </c>
      <c r="I25" s="51"/>
    </row>
    <row r="26" spans="2:13" s="4" customFormat="1" ht="28" customHeight="1">
      <c r="B26" s="233" t="s">
        <v>40</v>
      </c>
      <c r="C26" s="234"/>
      <c r="D26" s="65"/>
      <c r="E26" s="112"/>
      <c r="F26" s="67"/>
      <c r="G26" s="67"/>
      <c r="H26" s="74">
        <f>INT(SUM(H8,H17,H18,H19)*0)</f>
        <v>0</v>
      </c>
      <c r="I26" s="136" t="s">
        <v>63</v>
      </c>
    </row>
    <row r="27" spans="2:13" s="4" customFormat="1" ht="28" customHeight="1">
      <c r="B27" s="246" t="s">
        <v>60</v>
      </c>
      <c r="C27" s="247"/>
      <c r="D27" s="248" t="s">
        <v>46</v>
      </c>
      <c r="E27" s="248"/>
      <c r="F27" s="248"/>
      <c r="G27" s="248"/>
      <c r="H27" s="124">
        <f>(SUM(H8,H17,H18,H19,H26))</f>
        <v>2575356</v>
      </c>
      <c r="I27" s="137"/>
    </row>
    <row r="28" spans="2:13" s="4" customFormat="1" ht="18" customHeight="1">
      <c r="B28" s="240" t="s">
        <v>58</v>
      </c>
      <c r="C28" s="241"/>
      <c r="D28" s="248"/>
      <c r="E28" s="248"/>
      <c r="F28" s="248"/>
      <c r="G28" s="248"/>
      <c r="H28" s="124">
        <v>65356</v>
      </c>
      <c r="I28" s="138"/>
    </row>
    <row r="29" spans="2:13" s="4" customFormat="1" ht="18" customHeight="1">
      <c r="B29" s="272" t="s">
        <v>59</v>
      </c>
      <c r="C29" s="273"/>
      <c r="D29" s="276"/>
      <c r="E29" s="276"/>
      <c r="F29" s="276"/>
      <c r="G29" s="276"/>
      <c r="H29" s="140">
        <f>H27-H28</f>
        <v>2510000</v>
      </c>
      <c r="I29" s="141"/>
    </row>
    <row r="30" spans="2:13" s="4" customFormat="1" ht="18" customHeight="1">
      <c r="B30" s="240" t="s">
        <v>2</v>
      </c>
      <c r="C30" s="241"/>
      <c r="D30" s="248"/>
      <c r="E30" s="248"/>
      <c r="F30" s="248"/>
      <c r="G30" s="248"/>
      <c r="H30" s="143" t="s">
        <v>5</v>
      </c>
      <c r="I30" s="138"/>
    </row>
    <row r="31" spans="2:13" s="4" customFormat="1" ht="28" customHeight="1" thickBot="1">
      <c r="B31" s="277" t="s">
        <v>26</v>
      </c>
      <c r="C31" s="278"/>
      <c r="D31" s="275"/>
      <c r="E31" s="275"/>
      <c r="F31" s="275"/>
      <c r="G31" s="275"/>
      <c r="H31" s="114">
        <f>H29</f>
        <v>2510000</v>
      </c>
      <c r="I31" s="113" t="s">
        <v>69</v>
      </c>
    </row>
    <row r="32" spans="2:13" s="47" customFormat="1" ht="23" customHeight="1">
      <c r="B32" s="264"/>
      <c r="C32" s="265"/>
      <c r="D32" s="270" t="s">
        <v>79</v>
      </c>
      <c r="E32" s="270"/>
      <c r="F32" s="270"/>
      <c r="G32" s="270"/>
      <c r="H32" s="270"/>
      <c r="I32" s="152"/>
    </row>
    <row r="33" spans="2:9" s="47" customFormat="1" ht="23" customHeight="1">
      <c r="B33" s="266"/>
      <c r="C33" s="267"/>
      <c r="D33" s="271" t="s">
        <v>80</v>
      </c>
      <c r="E33" s="271"/>
      <c r="F33" s="271"/>
      <c r="G33" s="271"/>
      <c r="H33" s="271"/>
      <c r="I33" s="150" t="s">
        <v>81</v>
      </c>
    </row>
    <row r="34" spans="2:9" s="47" customFormat="1" ht="23" customHeight="1">
      <c r="B34" s="266"/>
      <c r="C34" s="267"/>
      <c r="D34" s="271" t="s">
        <v>82</v>
      </c>
      <c r="E34" s="271"/>
      <c r="F34" s="271"/>
      <c r="G34" s="271"/>
      <c r="H34" s="271"/>
      <c r="I34" s="150" t="s">
        <v>83</v>
      </c>
    </row>
    <row r="35" spans="2:9" s="47" customFormat="1" ht="23" customHeight="1">
      <c r="B35" s="266"/>
      <c r="C35" s="267"/>
      <c r="D35" s="271" t="s">
        <v>84</v>
      </c>
      <c r="E35" s="271"/>
      <c r="F35" s="271"/>
      <c r="G35" s="271"/>
      <c r="H35" s="271"/>
      <c r="I35" s="150" t="s">
        <v>85</v>
      </c>
    </row>
    <row r="36" spans="2:9" s="47" customFormat="1" ht="23" customHeight="1" thickBot="1">
      <c r="B36" s="268"/>
      <c r="C36" s="269"/>
      <c r="D36" s="274" t="s">
        <v>86</v>
      </c>
      <c r="E36" s="274"/>
      <c r="F36" s="274"/>
      <c r="G36" s="274"/>
      <c r="H36" s="274"/>
      <c r="I36" s="151" t="s">
        <v>87</v>
      </c>
    </row>
  </sheetData>
  <mergeCells count="31">
    <mergeCell ref="B32:C36"/>
    <mergeCell ref="D32:H32"/>
    <mergeCell ref="D34:H34"/>
    <mergeCell ref="B29:C29"/>
    <mergeCell ref="D36:H36"/>
    <mergeCell ref="D35:H35"/>
    <mergeCell ref="D30:G30"/>
    <mergeCell ref="D31:G31"/>
    <mergeCell ref="B30:C30"/>
    <mergeCell ref="D29:G29"/>
    <mergeCell ref="B31:C31"/>
    <mergeCell ref="D33:H33"/>
    <mergeCell ref="B1:I1"/>
    <mergeCell ref="B4:C4"/>
    <mergeCell ref="B5:C5"/>
    <mergeCell ref="D4:I4"/>
    <mergeCell ref="D5:I5"/>
    <mergeCell ref="D3:I3"/>
    <mergeCell ref="H2:I2"/>
    <mergeCell ref="B3:C3"/>
    <mergeCell ref="B26:C26"/>
    <mergeCell ref="B6:I6"/>
    <mergeCell ref="B7:C7"/>
    <mergeCell ref="B28:C28"/>
    <mergeCell ref="B18:C18"/>
    <mergeCell ref="B17:C17"/>
    <mergeCell ref="B8:C8"/>
    <mergeCell ref="B19:C19"/>
    <mergeCell ref="B27:C27"/>
    <mergeCell ref="D28:G28"/>
    <mergeCell ref="D27:G27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46D-587A-104B-B716-12DCA63A8657}">
  <sheetPr>
    <tabColor rgb="FF92D050"/>
  </sheetPr>
  <dimension ref="B1:U181"/>
  <sheetViews>
    <sheetView tabSelected="1" view="pageBreakPreview" topLeftCell="A159" zoomScaleNormal="100" zoomScaleSheetLayoutView="100" workbookViewId="0">
      <selection activeCell="R167" sqref="R167:U167"/>
    </sheetView>
  </sheetViews>
  <sheetFormatPr baseColWidth="10" defaultColWidth="8.83203125" defaultRowHeight="14"/>
  <cols>
    <col min="2" max="6" width="3.83203125" customWidth="1"/>
    <col min="7" max="7" width="3.83203125" style="54" customWidth="1"/>
    <col min="8" max="8" width="5.83203125" style="154" customWidth="1"/>
    <col min="9" max="9" width="3.83203125" style="154" customWidth="1"/>
    <col min="10" max="10" width="3.83203125" customWidth="1"/>
    <col min="11" max="11" width="3.83203125" style="52" customWidth="1"/>
    <col min="12" max="21" width="3.83203125" customWidth="1"/>
    <col min="258" max="263" width="3.83203125" customWidth="1"/>
    <col min="264" max="264" width="5.83203125" customWidth="1"/>
    <col min="265" max="277" width="3.83203125" customWidth="1"/>
    <col min="514" max="519" width="3.83203125" customWidth="1"/>
    <col min="520" max="520" width="5.83203125" customWidth="1"/>
    <col min="521" max="533" width="3.83203125" customWidth="1"/>
    <col min="770" max="775" width="3.83203125" customWidth="1"/>
    <col min="776" max="776" width="5.83203125" customWidth="1"/>
    <col min="777" max="789" width="3.83203125" customWidth="1"/>
    <col min="1026" max="1031" width="3.83203125" customWidth="1"/>
    <col min="1032" max="1032" width="5.83203125" customWidth="1"/>
    <col min="1033" max="1045" width="3.83203125" customWidth="1"/>
    <col min="1282" max="1287" width="3.83203125" customWidth="1"/>
    <col min="1288" max="1288" width="5.83203125" customWidth="1"/>
    <col min="1289" max="1301" width="3.83203125" customWidth="1"/>
    <col min="1538" max="1543" width="3.83203125" customWidth="1"/>
    <col min="1544" max="1544" width="5.83203125" customWidth="1"/>
    <col min="1545" max="1557" width="3.83203125" customWidth="1"/>
    <col min="1794" max="1799" width="3.83203125" customWidth="1"/>
    <col min="1800" max="1800" width="5.83203125" customWidth="1"/>
    <col min="1801" max="1813" width="3.83203125" customWidth="1"/>
    <col min="2050" max="2055" width="3.83203125" customWidth="1"/>
    <col min="2056" max="2056" width="5.83203125" customWidth="1"/>
    <col min="2057" max="2069" width="3.83203125" customWidth="1"/>
    <col min="2306" max="2311" width="3.83203125" customWidth="1"/>
    <col min="2312" max="2312" width="5.83203125" customWidth="1"/>
    <col min="2313" max="2325" width="3.83203125" customWidth="1"/>
    <col min="2562" max="2567" width="3.83203125" customWidth="1"/>
    <col min="2568" max="2568" width="5.83203125" customWidth="1"/>
    <col min="2569" max="2581" width="3.83203125" customWidth="1"/>
    <col min="2818" max="2823" width="3.83203125" customWidth="1"/>
    <col min="2824" max="2824" width="5.83203125" customWidth="1"/>
    <col min="2825" max="2837" width="3.83203125" customWidth="1"/>
    <col min="3074" max="3079" width="3.83203125" customWidth="1"/>
    <col min="3080" max="3080" width="5.83203125" customWidth="1"/>
    <col min="3081" max="3093" width="3.83203125" customWidth="1"/>
    <col min="3330" max="3335" width="3.83203125" customWidth="1"/>
    <col min="3336" max="3336" width="5.83203125" customWidth="1"/>
    <col min="3337" max="3349" width="3.83203125" customWidth="1"/>
    <col min="3586" max="3591" width="3.83203125" customWidth="1"/>
    <col min="3592" max="3592" width="5.83203125" customWidth="1"/>
    <col min="3593" max="3605" width="3.83203125" customWidth="1"/>
    <col min="3842" max="3847" width="3.83203125" customWidth="1"/>
    <col min="3848" max="3848" width="5.83203125" customWidth="1"/>
    <col min="3849" max="3861" width="3.83203125" customWidth="1"/>
    <col min="4098" max="4103" width="3.83203125" customWidth="1"/>
    <col min="4104" max="4104" width="5.83203125" customWidth="1"/>
    <col min="4105" max="4117" width="3.83203125" customWidth="1"/>
    <col min="4354" max="4359" width="3.83203125" customWidth="1"/>
    <col min="4360" max="4360" width="5.83203125" customWidth="1"/>
    <col min="4361" max="4373" width="3.83203125" customWidth="1"/>
    <col min="4610" max="4615" width="3.83203125" customWidth="1"/>
    <col min="4616" max="4616" width="5.83203125" customWidth="1"/>
    <col min="4617" max="4629" width="3.83203125" customWidth="1"/>
    <col min="4866" max="4871" width="3.83203125" customWidth="1"/>
    <col min="4872" max="4872" width="5.83203125" customWidth="1"/>
    <col min="4873" max="4885" width="3.83203125" customWidth="1"/>
    <col min="5122" max="5127" width="3.83203125" customWidth="1"/>
    <col min="5128" max="5128" width="5.83203125" customWidth="1"/>
    <col min="5129" max="5141" width="3.83203125" customWidth="1"/>
    <col min="5378" max="5383" width="3.83203125" customWidth="1"/>
    <col min="5384" max="5384" width="5.83203125" customWidth="1"/>
    <col min="5385" max="5397" width="3.83203125" customWidth="1"/>
    <col min="5634" max="5639" width="3.83203125" customWidth="1"/>
    <col min="5640" max="5640" width="5.83203125" customWidth="1"/>
    <col min="5641" max="5653" width="3.83203125" customWidth="1"/>
    <col min="5890" max="5895" width="3.83203125" customWidth="1"/>
    <col min="5896" max="5896" width="5.83203125" customWidth="1"/>
    <col min="5897" max="5909" width="3.83203125" customWidth="1"/>
    <col min="6146" max="6151" width="3.83203125" customWidth="1"/>
    <col min="6152" max="6152" width="5.83203125" customWidth="1"/>
    <col min="6153" max="6165" width="3.83203125" customWidth="1"/>
    <col min="6402" max="6407" width="3.83203125" customWidth="1"/>
    <col min="6408" max="6408" width="5.83203125" customWidth="1"/>
    <col min="6409" max="6421" width="3.83203125" customWidth="1"/>
    <col min="6658" max="6663" width="3.83203125" customWidth="1"/>
    <col min="6664" max="6664" width="5.83203125" customWidth="1"/>
    <col min="6665" max="6677" width="3.83203125" customWidth="1"/>
    <col min="6914" max="6919" width="3.83203125" customWidth="1"/>
    <col min="6920" max="6920" width="5.83203125" customWidth="1"/>
    <col min="6921" max="6933" width="3.83203125" customWidth="1"/>
    <col min="7170" max="7175" width="3.83203125" customWidth="1"/>
    <col min="7176" max="7176" width="5.83203125" customWidth="1"/>
    <col min="7177" max="7189" width="3.83203125" customWidth="1"/>
    <col min="7426" max="7431" width="3.83203125" customWidth="1"/>
    <col min="7432" max="7432" width="5.83203125" customWidth="1"/>
    <col min="7433" max="7445" width="3.83203125" customWidth="1"/>
    <col min="7682" max="7687" width="3.83203125" customWidth="1"/>
    <col min="7688" max="7688" width="5.83203125" customWidth="1"/>
    <col min="7689" max="7701" width="3.83203125" customWidth="1"/>
    <col min="7938" max="7943" width="3.83203125" customWidth="1"/>
    <col min="7944" max="7944" width="5.83203125" customWidth="1"/>
    <col min="7945" max="7957" width="3.83203125" customWidth="1"/>
    <col min="8194" max="8199" width="3.83203125" customWidth="1"/>
    <col min="8200" max="8200" width="5.83203125" customWidth="1"/>
    <col min="8201" max="8213" width="3.83203125" customWidth="1"/>
    <col min="8450" max="8455" width="3.83203125" customWidth="1"/>
    <col min="8456" max="8456" width="5.83203125" customWidth="1"/>
    <col min="8457" max="8469" width="3.83203125" customWidth="1"/>
    <col min="8706" max="8711" width="3.83203125" customWidth="1"/>
    <col min="8712" max="8712" width="5.83203125" customWidth="1"/>
    <col min="8713" max="8725" width="3.83203125" customWidth="1"/>
    <col min="8962" max="8967" width="3.83203125" customWidth="1"/>
    <col min="8968" max="8968" width="5.83203125" customWidth="1"/>
    <col min="8969" max="8981" width="3.83203125" customWidth="1"/>
    <col min="9218" max="9223" width="3.83203125" customWidth="1"/>
    <col min="9224" max="9224" width="5.83203125" customWidth="1"/>
    <col min="9225" max="9237" width="3.83203125" customWidth="1"/>
    <col min="9474" max="9479" width="3.83203125" customWidth="1"/>
    <col min="9480" max="9480" width="5.83203125" customWidth="1"/>
    <col min="9481" max="9493" width="3.83203125" customWidth="1"/>
    <col min="9730" max="9735" width="3.83203125" customWidth="1"/>
    <col min="9736" max="9736" width="5.83203125" customWidth="1"/>
    <col min="9737" max="9749" width="3.83203125" customWidth="1"/>
    <col min="9986" max="9991" width="3.83203125" customWidth="1"/>
    <col min="9992" max="9992" width="5.83203125" customWidth="1"/>
    <col min="9993" max="10005" width="3.83203125" customWidth="1"/>
    <col min="10242" max="10247" width="3.83203125" customWidth="1"/>
    <col min="10248" max="10248" width="5.83203125" customWidth="1"/>
    <col min="10249" max="10261" width="3.83203125" customWidth="1"/>
    <col min="10498" max="10503" width="3.83203125" customWidth="1"/>
    <col min="10504" max="10504" width="5.83203125" customWidth="1"/>
    <col min="10505" max="10517" width="3.83203125" customWidth="1"/>
    <col min="10754" max="10759" width="3.83203125" customWidth="1"/>
    <col min="10760" max="10760" width="5.83203125" customWidth="1"/>
    <col min="10761" max="10773" width="3.83203125" customWidth="1"/>
    <col min="11010" max="11015" width="3.83203125" customWidth="1"/>
    <col min="11016" max="11016" width="5.83203125" customWidth="1"/>
    <col min="11017" max="11029" width="3.83203125" customWidth="1"/>
    <col min="11266" max="11271" width="3.83203125" customWidth="1"/>
    <col min="11272" max="11272" width="5.83203125" customWidth="1"/>
    <col min="11273" max="11285" width="3.83203125" customWidth="1"/>
    <col min="11522" max="11527" width="3.83203125" customWidth="1"/>
    <col min="11528" max="11528" width="5.83203125" customWidth="1"/>
    <col min="11529" max="11541" width="3.83203125" customWidth="1"/>
    <col min="11778" max="11783" width="3.83203125" customWidth="1"/>
    <col min="11784" max="11784" width="5.83203125" customWidth="1"/>
    <col min="11785" max="11797" width="3.83203125" customWidth="1"/>
    <col min="12034" max="12039" width="3.83203125" customWidth="1"/>
    <col min="12040" max="12040" width="5.83203125" customWidth="1"/>
    <col min="12041" max="12053" width="3.83203125" customWidth="1"/>
    <col min="12290" max="12295" width="3.83203125" customWidth="1"/>
    <col min="12296" max="12296" width="5.83203125" customWidth="1"/>
    <col min="12297" max="12309" width="3.83203125" customWidth="1"/>
    <col min="12546" max="12551" width="3.83203125" customWidth="1"/>
    <col min="12552" max="12552" width="5.83203125" customWidth="1"/>
    <col min="12553" max="12565" width="3.83203125" customWidth="1"/>
    <col min="12802" max="12807" width="3.83203125" customWidth="1"/>
    <col min="12808" max="12808" width="5.83203125" customWidth="1"/>
    <col min="12809" max="12821" width="3.83203125" customWidth="1"/>
    <col min="13058" max="13063" width="3.83203125" customWidth="1"/>
    <col min="13064" max="13064" width="5.83203125" customWidth="1"/>
    <col min="13065" max="13077" width="3.83203125" customWidth="1"/>
    <col min="13314" max="13319" width="3.83203125" customWidth="1"/>
    <col min="13320" max="13320" width="5.83203125" customWidth="1"/>
    <col min="13321" max="13333" width="3.83203125" customWidth="1"/>
    <col min="13570" max="13575" width="3.83203125" customWidth="1"/>
    <col min="13576" max="13576" width="5.83203125" customWidth="1"/>
    <col min="13577" max="13589" width="3.83203125" customWidth="1"/>
    <col min="13826" max="13831" width="3.83203125" customWidth="1"/>
    <col min="13832" max="13832" width="5.83203125" customWidth="1"/>
    <col min="13833" max="13845" width="3.83203125" customWidth="1"/>
    <col min="14082" max="14087" width="3.83203125" customWidth="1"/>
    <col min="14088" max="14088" width="5.83203125" customWidth="1"/>
    <col min="14089" max="14101" width="3.83203125" customWidth="1"/>
    <col min="14338" max="14343" width="3.83203125" customWidth="1"/>
    <col min="14344" max="14344" width="5.83203125" customWidth="1"/>
    <col min="14345" max="14357" width="3.83203125" customWidth="1"/>
    <col min="14594" max="14599" width="3.83203125" customWidth="1"/>
    <col min="14600" max="14600" width="5.83203125" customWidth="1"/>
    <col min="14601" max="14613" width="3.83203125" customWidth="1"/>
    <col min="14850" max="14855" width="3.83203125" customWidth="1"/>
    <col min="14856" max="14856" width="5.83203125" customWidth="1"/>
    <col min="14857" max="14869" width="3.83203125" customWidth="1"/>
    <col min="15106" max="15111" width="3.83203125" customWidth="1"/>
    <col min="15112" max="15112" width="5.83203125" customWidth="1"/>
    <col min="15113" max="15125" width="3.83203125" customWidth="1"/>
    <col min="15362" max="15367" width="3.83203125" customWidth="1"/>
    <col min="15368" max="15368" width="5.83203125" customWidth="1"/>
    <col min="15369" max="15381" width="3.83203125" customWidth="1"/>
    <col min="15618" max="15623" width="3.83203125" customWidth="1"/>
    <col min="15624" max="15624" width="5.83203125" customWidth="1"/>
    <col min="15625" max="15637" width="3.83203125" customWidth="1"/>
    <col min="15874" max="15879" width="3.83203125" customWidth="1"/>
    <col min="15880" max="15880" width="5.83203125" customWidth="1"/>
    <col min="15881" max="15893" width="3.83203125" customWidth="1"/>
    <col min="16130" max="16135" width="3.83203125" customWidth="1"/>
    <col min="16136" max="16136" width="5.83203125" customWidth="1"/>
    <col min="16137" max="16149" width="3.83203125" customWidth="1"/>
  </cols>
  <sheetData>
    <row r="1" spans="2:21">
      <c r="B1" s="153"/>
      <c r="C1" s="153"/>
    </row>
    <row r="2" spans="2:21">
      <c r="B2" s="153"/>
      <c r="C2" s="153"/>
    </row>
    <row r="3" spans="2:21">
      <c r="B3" s="153"/>
      <c r="C3" s="153"/>
    </row>
    <row r="4" spans="2:21">
      <c r="B4" s="153"/>
      <c r="C4" s="153"/>
    </row>
    <row r="5" spans="2:21">
      <c r="B5" s="153"/>
      <c r="C5" s="153"/>
    </row>
    <row r="6" spans="2:21">
      <c r="B6" s="153"/>
      <c r="C6" s="153"/>
    </row>
    <row r="7" spans="2:21" ht="4" customHeight="1">
      <c r="B7" s="279" t="s">
        <v>97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</row>
    <row r="8" spans="2:21" ht="66" customHeight="1">
      <c r="B8" s="281" t="s">
        <v>98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</row>
    <row r="9" spans="2:21" ht="44" customHeight="1">
      <c r="B9" s="282" t="s">
        <v>99</v>
      </c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</row>
    <row r="10" spans="2:21" ht="4" customHeight="1">
      <c r="B10" s="283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</row>
    <row r="11" spans="2:21" ht="50" customHeight="1">
      <c r="B11" s="155"/>
      <c r="C11" s="155"/>
    </row>
    <row r="12" spans="2:21" ht="50" customHeight="1">
      <c r="B12" s="155"/>
      <c r="C12" s="155"/>
    </row>
    <row r="13" spans="2:21" ht="50" customHeight="1">
      <c r="B13" s="155"/>
      <c r="C13" s="155"/>
    </row>
    <row r="14" spans="2:21" ht="50" customHeight="1">
      <c r="B14" s="155"/>
      <c r="C14" s="155"/>
    </row>
    <row r="15" spans="2:21" ht="50" customHeight="1">
      <c r="B15" s="155"/>
      <c r="C15" s="155"/>
    </row>
    <row r="16" spans="2:21" ht="24">
      <c r="B16" s="285" t="s">
        <v>100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</row>
    <row r="17" spans="2:21" ht="34.5" customHeight="1">
      <c r="B17" s="155"/>
      <c r="C17" s="155"/>
    </row>
    <row r="18" spans="2:21" ht="34.5" customHeight="1">
      <c r="B18" s="155"/>
      <c r="C18" s="155"/>
    </row>
    <row r="19" spans="2:21" ht="34.5" customHeight="1">
      <c r="B19" s="155"/>
      <c r="C19" s="155"/>
    </row>
    <row r="20" spans="2:21" ht="34.5" customHeight="1">
      <c r="B20" s="155"/>
      <c r="C20" s="155"/>
    </row>
    <row r="21" spans="2:21" ht="34.5" customHeight="1">
      <c r="B21" s="155"/>
      <c r="C21" s="155"/>
    </row>
    <row r="22" spans="2:21" ht="34.5" customHeight="1">
      <c r="B22" s="153"/>
      <c r="C22" s="153"/>
    </row>
    <row r="23" spans="2:21" ht="53.25" customHeight="1">
      <c r="D23" s="156"/>
      <c r="E23" s="156"/>
      <c r="I23" s="286" t="s">
        <v>101</v>
      </c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</row>
    <row r="24" spans="2:21" ht="24" customHeight="1">
      <c r="D24" s="157"/>
      <c r="E24" s="157"/>
      <c r="F24" s="157"/>
      <c r="I24" s="288" t="s">
        <v>102</v>
      </c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</row>
    <row r="25" spans="2:21" ht="24" customHeight="1">
      <c r="D25" s="157"/>
      <c r="E25" s="157"/>
      <c r="F25" s="157"/>
      <c r="I25" s="288" t="s">
        <v>103</v>
      </c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</row>
    <row r="26" spans="2:21" ht="24" customHeight="1">
      <c r="D26" s="157"/>
      <c r="E26" s="157"/>
      <c r="F26" s="157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</row>
    <row r="27" spans="2:21" ht="24" customHeight="1">
      <c r="D27" s="157"/>
      <c r="E27" s="157"/>
      <c r="F27" s="157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</row>
    <row r="28" spans="2:21" ht="24" customHeight="1">
      <c r="D28" s="157"/>
      <c r="E28" s="157"/>
      <c r="F28" s="157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</row>
    <row r="29" spans="2:21" ht="24" customHeight="1" thickBot="1">
      <c r="D29" s="157"/>
      <c r="E29" s="157"/>
      <c r="F29" s="157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</row>
    <row r="30" spans="2:21" ht="43.5" customHeight="1" thickBot="1">
      <c r="B30" s="289" t="s">
        <v>104</v>
      </c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1"/>
    </row>
    <row r="31" spans="2:21" ht="25" customHeight="1">
      <c r="B31" s="292" t="s">
        <v>105</v>
      </c>
      <c r="C31" s="293"/>
      <c r="D31" s="296" t="s">
        <v>106</v>
      </c>
      <c r="E31" s="296"/>
      <c r="F31" s="296"/>
      <c r="G31" s="297" t="str">
        <f>B9</f>
        <v>서희아리채</v>
      </c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8"/>
    </row>
    <row r="32" spans="2:21" ht="25" customHeight="1">
      <c r="B32" s="294"/>
      <c r="C32" s="295"/>
      <c r="D32" s="299" t="s">
        <v>107</v>
      </c>
      <c r="E32" s="299"/>
      <c r="F32" s="299"/>
      <c r="G32" s="288" t="s">
        <v>108</v>
      </c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300"/>
    </row>
    <row r="33" spans="2:21" ht="25" customHeight="1">
      <c r="B33" s="294"/>
      <c r="C33" s="295"/>
      <c r="D33" s="299"/>
      <c r="E33" s="299"/>
      <c r="F33" s="299"/>
      <c r="G33" s="301" t="s">
        <v>109</v>
      </c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2"/>
    </row>
    <row r="34" spans="2:21" ht="25" customHeight="1">
      <c r="B34" s="294"/>
      <c r="C34" s="295"/>
      <c r="D34" s="299"/>
      <c r="E34" s="299"/>
      <c r="F34" s="299"/>
      <c r="G34" s="301" t="s">
        <v>110</v>
      </c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300"/>
    </row>
    <row r="35" spans="2:21" ht="25" customHeight="1">
      <c r="B35" s="294"/>
      <c r="C35" s="295"/>
      <c r="D35" s="299"/>
      <c r="E35" s="299"/>
      <c r="F35" s="299"/>
      <c r="G35" s="288" t="s">
        <v>111</v>
      </c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300"/>
    </row>
    <row r="36" spans="2:21" ht="25" customHeight="1">
      <c r="B36" s="294"/>
      <c r="C36" s="295"/>
      <c r="D36" s="299"/>
      <c r="E36" s="299"/>
      <c r="F36" s="299"/>
      <c r="G36" s="303" t="s">
        <v>112</v>
      </c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4"/>
    </row>
    <row r="37" spans="2:21" ht="25" customHeight="1">
      <c r="B37" s="313" t="s">
        <v>113</v>
      </c>
      <c r="C37" s="314"/>
      <c r="D37" s="319" t="s">
        <v>114</v>
      </c>
      <c r="E37" s="319"/>
      <c r="F37" s="319"/>
      <c r="G37" s="320" t="s">
        <v>115</v>
      </c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2"/>
    </row>
    <row r="38" spans="2:21" ht="25" customHeight="1">
      <c r="B38" s="294"/>
      <c r="C38" s="295"/>
      <c r="D38" s="299" t="s">
        <v>116</v>
      </c>
      <c r="E38" s="299"/>
      <c r="F38" s="299"/>
      <c r="G38" s="308" t="s">
        <v>117</v>
      </c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9"/>
    </row>
    <row r="39" spans="2:21" ht="25" customHeight="1">
      <c r="B39" s="294"/>
      <c r="C39" s="295"/>
      <c r="D39" s="299" t="s">
        <v>59</v>
      </c>
      <c r="E39" s="299"/>
      <c r="F39" s="299"/>
      <c r="G39" s="323" t="s">
        <v>118</v>
      </c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4"/>
    </row>
    <row r="40" spans="2:21" ht="25" customHeight="1">
      <c r="B40" s="294"/>
      <c r="C40" s="295"/>
      <c r="D40" s="299" t="s">
        <v>119</v>
      </c>
      <c r="E40" s="299"/>
      <c r="F40" s="299"/>
      <c r="G40" s="308" t="s">
        <v>120</v>
      </c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9"/>
    </row>
    <row r="41" spans="2:21" ht="25" customHeight="1">
      <c r="B41" s="294"/>
      <c r="C41" s="295"/>
      <c r="D41" s="299" t="s">
        <v>121</v>
      </c>
      <c r="E41" s="299"/>
      <c r="F41" s="299"/>
      <c r="G41" s="308" t="s">
        <v>122</v>
      </c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9"/>
    </row>
    <row r="42" spans="2:21" ht="25" customHeight="1">
      <c r="B42" s="294"/>
      <c r="C42" s="295"/>
      <c r="D42" s="299" t="s">
        <v>123</v>
      </c>
      <c r="E42" s="299"/>
      <c r="F42" s="299"/>
      <c r="G42" s="308" t="s">
        <v>124</v>
      </c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9"/>
    </row>
    <row r="43" spans="2:21" ht="25" customHeight="1">
      <c r="B43" s="294"/>
      <c r="C43" s="295"/>
      <c r="D43" s="299"/>
      <c r="E43" s="299"/>
      <c r="F43" s="299"/>
      <c r="G43" s="308" t="s">
        <v>125</v>
      </c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9"/>
    </row>
    <row r="44" spans="2:21" ht="25" customHeight="1">
      <c r="B44" s="315"/>
      <c r="C44" s="316"/>
      <c r="D44" s="325" t="s">
        <v>126</v>
      </c>
      <c r="E44" s="326"/>
      <c r="F44" s="327"/>
      <c r="G44" s="328" t="s">
        <v>127</v>
      </c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30"/>
    </row>
    <row r="45" spans="2:21" ht="25" customHeight="1" thickBot="1">
      <c r="B45" s="317"/>
      <c r="C45" s="318"/>
      <c r="D45" s="331" t="s">
        <v>128</v>
      </c>
      <c r="E45" s="331"/>
      <c r="F45" s="331"/>
      <c r="G45" s="332" t="s">
        <v>129</v>
      </c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3"/>
    </row>
    <row r="46" spans="2:21">
      <c r="B46" s="305"/>
      <c r="C46" s="306"/>
      <c r="D46" s="306"/>
      <c r="E46" s="306"/>
      <c r="U46" s="46"/>
    </row>
    <row r="47" spans="2:21" ht="55.5" customHeight="1">
      <c r="B47" s="307" t="s">
        <v>130</v>
      </c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300"/>
    </row>
    <row r="48" spans="2:21">
      <c r="B48" s="160"/>
      <c r="C48" s="161"/>
      <c r="D48" s="161"/>
      <c r="E48" s="161"/>
      <c r="U48" s="46"/>
    </row>
    <row r="49" spans="2:21" ht="25" customHeight="1">
      <c r="B49" s="335" t="s">
        <v>131</v>
      </c>
      <c r="C49" s="336"/>
      <c r="D49" s="336"/>
      <c r="E49" s="301" t="s">
        <v>132</v>
      </c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300"/>
    </row>
    <row r="50" spans="2:21" ht="25" customHeight="1">
      <c r="B50" s="162"/>
      <c r="C50" s="157"/>
      <c r="D50" s="157"/>
      <c r="E50" s="288" t="s">
        <v>133</v>
      </c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300"/>
    </row>
    <row r="51" spans="2:21" ht="25" customHeight="1">
      <c r="B51" s="162"/>
      <c r="C51" s="157"/>
      <c r="D51" s="157"/>
      <c r="E51" s="288" t="s">
        <v>134</v>
      </c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300"/>
    </row>
    <row r="52" spans="2:21">
      <c r="B52" s="305"/>
      <c r="C52" s="306"/>
      <c r="D52" s="306"/>
      <c r="E52" s="306"/>
      <c r="U52" s="46"/>
    </row>
    <row r="53" spans="2:21" ht="25" customHeight="1">
      <c r="B53" s="307" t="s">
        <v>135</v>
      </c>
      <c r="C53" s="288"/>
      <c r="D53" s="288"/>
      <c r="E53" s="337" t="s">
        <v>136</v>
      </c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8"/>
    </row>
    <row r="54" spans="2:21" ht="26.25" customHeight="1">
      <c r="B54" s="310" t="s">
        <v>137</v>
      </c>
      <c r="C54" s="311"/>
      <c r="D54" s="311"/>
      <c r="E54" s="311"/>
      <c r="F54" s="311"/>
      <c r="G54" s="311"/>
      <c r="H54" s="311"/>
      <c r="I54" s="311"/>
      <c r="J54" s="311"/>
      <c r="K54" s="311"/>
      <c r="L54" s="311" t="s">
        <v>138</v>
      </c>
      <c r="M54" s="311"/>
      <c r="N54" s="311"/>
      <c r="O54" s="311"/>
      <c r="P54" s="311"/>
      <c r="Q54" s="311"/>
      <c r="R54" s="311"/>
      <c r="S54" s="311"/>
      <c r="T54" s="311"/>
      <c r="U54" s="312"/>
    </row>
    <row r="55" spans="2:21" ht="40.5" customHeight="1">
      <c r="B55" s="310" t="s">
        <v>139</v>
      </c>
      <c r="C55" s="311"/>
      <c r="D55" s="311"/>
      <c r="E55" s="334" t="str">
        <f>B9</f>
        <v>서희아리채</v>
      </c>
      <c r="F55" s="334"/>
      <c r="G55" s="334"/>
      <c r="H55" s="334"/>
      <c r="I55" s="334"/>
      <c r="J55" s="334"/>
      <c r="K55" s="334"/>
      <c r="L55" s="311" t="s">
        <v>140</v>
      </c>
      <c r="M55" s="311"/>
      <c r="N55" s="311"/>
      <c r="O55" s="308" t="s">
        <v>141</v>
      </c>
      <c r="P55" s="308"/>
      <c r="Q55" s="308"/>
      <c r="R55" s="308"/>
      <c r="S55" s="308"/>
      <c r="T55" s="308"/>
      <c r="U55" s="309"/>
    </row>
    <row r="56" spans="2:21" ht="40.5" customHeight="1">
      <c r="B56" s="310" t="s">
        <v>142</v>
      </c>
      <c r="C56" s="311"/>
      <c r="D56" s="311"/>
      <c r="E56" s="334" t="str">
        <f>G42</f>
        <v>경기도 안양시 만안구 문예로52번길 19 (안양동)</v>
      </c>
      <c r="F56" s="334"/>
      <c r="G56" s="334"/>
      <c r="H56" s="334"/>
      <c r="I56" s="334"/>
      <c r="J56" s="334"/>
      <c r="K56" s="334"/>
      <c r="L56" s="311" t="s">
        <v>143</v>
      </c>
      <c r="M56" s="311"/>
      <c r="N56" s="311"/>
      <c r="O56" s="344" t="s">
        <v>144</v>
      </c>
      <c r="P56" s="345"/>
      <c r="Q56" s="345"/>
      <c r="R56" s="345"/>
      <c r="S56" s="345"/>
      <c r="T56" s="345"/>
      <c r="U56" s="346"/>
    </row>
    <row r="57" spans="2:21" ht="40.5" customHeight="1" thickBot="1">
      <c r="B57" s="347" t="s">
        <v>145</v>
      </c>
      <c r="C57" s="348"/>
      <c r="D57" s="348"/>
      <c r="E57" s="349" t="s">
        <v>146</v>
      </c>
      <c r="F57" s="349"/>
      <c r="G57" s="349"/>
      <c r="H57" s="349"/>
      <c r="I57" s="349"/>
      <c r="J57" s="349"/>
      <c r="K57" s="349"/>
      <c r="L57" s="348" t="s">
        <v>147</v>
      </c>
      <c r="M57" s="348"/>
      <c r="N57" s="348"/>
      <c r="O57" s="350" t="s">
        <v>148</v>
      </c>
      <c r="P57" s="350"/>
      <c r="Q57" s="350"/>
      <c r="R57" s="350"/>
      <c r="S57" s="350"/>
      <c r="T57" s="350"/>
      <c r="U57" s="351"/>
    </row>
    <row r="58" spans="2:21" ht="16">
      <c r="B58" s="339" t="s">
        <v>149</v>
      </c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</row>
    <row r="59" spans="2:21" ht="26">
      <c r="B59" s="340" t="s">
        <v>150</v>
      </c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</row>
    <row r="60" spans="2:21" ht="15">
      <c r="B60" s="163"/>
      <c r="F60" s="54"/>
      <c r="G60" s="154"/>
      <c r="H60"/>
      <c r="I60" s="52"/>
      <c r="K60"/>
    </row>
    <row r="61" spans="2:21" ht="25" customHeight="1">
      <c r="B61" s="341" t="s">
        <v>151</v>
      </c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</row>
    <row r="62" spans="2:21" ht="25" customHeight="1">
      <c r="B62" s="342" t="s">
        <v>152</v>
      </c>
      <c r="C62" s="342"/>
      <c r="D62" s="342"/>
      <c r="E62" s="342"/>
      <c r="F62" s="342"/>
      <c r="G62" s="342"/>
      <c r="H62" s="342"/>
      <c r="I62" s="343" t="str">
        <f>B9</f>
        <v>서희아리채</v>
      </c>
      <c r="J62" s="343"/>
      <c r="K62" s="343"/>
      <c r="L62" s="343"/>
      <c r="M62" s="343"/>
      <c r="N62" s="342" t="s">
        <v>153</v>
      </c>
      <c r="O62" s="342"/>
      <c r="P62" s="342"/>
      <c r="Q62" s="342"/>
      <c r="R62" s="342"/>
      <c r="S62" s="342"/>
      <c r="T62" s="342"/>
      <c r="U62" s="342"/>
    </row>
    <row r="63" spans="2:21" ht="25" customHeight="1">
      <c r="B63" s="353" t="s">
        <v>154</v>
      </c>
      <c r="C63" s="353"/>
      <c r="D63" s="353"/>
      <c r="E63" s="353"/>
      <c r="F63" s="353"/>
      <c r="G63" s="353"/>
      <c r="H63" s="353"/>
      <c r="I63" s="353"/>
      <c r="J63" s="353"/>
      <c r="K63" s="353"/>
      <c r="L63" s="353"/>
      <c r="M63" s="353"/>
      <c r="N63" s="353"/>
      <c r="O63" s="353"/>
      <c r="P63" s="353"/>
      <c r="Q63" s="353"/>
      <c r="R63" s="353"/>
      <c r="S63" s="353"/>
      <c r="T63" s="353"/>
      <c r="U63" s="353"/>
    </row>
    <row r="64" spans="2:21" ht="20" customHeight="1">
      <c r="B64" s="158"/>
      <c r="C64" s="158"/>
      <c r="D64" s="158"/>
      <c r="E64" s="158"/>
      <c r="F64" s="158"/>
      <c r="G64" s="158"/>
      <c r="H64" s="158"/>
      <c r="I64" s="158"/>
      <c r="J64" s="158"/>
      <c r="K64"/>
    </row>
    <row r="65" spans="2:21" ht="20" customHeight="1">
      <c r="B65" s="352" t="s">
        <v>155</v>
      </c>
      <c r="C65" s="352"/>
      <c r="D65" s="352"/>
      <c r="E65" s="352"/>
      <c r="F65" s="352"/>
      <c r="G65" s="352"/>
      <c r="H65" s="352"/>
      <c r="I65" s="352"/>
      <c r="J65" s="352"/>
      <c r="K65"/>
    </row>
    <row r="66" spans="2:21" ht="80" customHeight="1">
      <c r="C66" s="288" t="s">
        <v>156</v>
      </c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</row>
    <row r="67" spans="2:21" ht="20" customHeight="1">
      <c r="B67" s="165"/>
      <c r="F67" s="54"/>
      <c r="G67" s="154"/>
      <c r="H67"/>
      <c r="I67" s="52"/>
      <c r="K67"/>
    </row>
    <row r="68" spans="2:21" ht="20" customHeight="1">
      <c r="B68" s="352" t="s">
        <v>157</v>
      </c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</row>
    <row r="69" spans="2:21" ht="20" customHeight="1">
      <c r="C69" s="166" t="s">
        <v>158</v>
      </c>
      <c r="D69" s="166"/>
      <c r="E69" s="166"/>
      <c r="F69" s="354" t="str">
        <f>B9</f>
        <v>서희아리채</v>
      </c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</row>
    <row r="70" spans="2:21" ht="20" customHeight="1">
      <c r="C70" s="166" t="s">
        <v>159</v>
      </c>
      <c r="D70" s="166"/>
      <c r="E70" s="166"/>
      <c r="F70" s="166" t="str">
        <f>G42</f>
        <v>경기도 안양시 만안구 문예로52번길 19 (안양동)</v>
      </c>
      <c r="G70" s="166"/>
      <c r="H70" s="166"/>
      <c r="I70" s="166"/>
      <c r="J70" s="166"/>
      <c r="K70"/>
    </row>
    <row r="71" spans="2:21" ht="20" customHeight="1">
      <c r="C71" s="166" t="s">
        <v>160</v>
      </c>
      <c r="D71" s="166"/>
      <c r="E71" s="166"/>
      <c r="F71" s="166" t="s">
        <v>75</v>
      </c>
      <c r="G71" s="166"/>
      <c r="H71" s="166"/>
      <c r="I71" s="166"/>
      <c r="J71" s="166"/>
      <c r="K71"/>
    </row>
    <row r="72" spans="2:21" ht="20" customHeight="1">
      <c r="C72" s="166" t="s">
        <v>161</v>
      </c>
      <c r="D72" s="166"/>
      <c r="E72" s="166"/>
      <c r="F72" s="166"/>
      <c r="G72" s="166"/>
      <c r="H72" s="166"/>
      <c r="I72" s="166"/>
      <c r="J72" s="166"/>
      <c r="K72" s="168" t="s">
        <v>162</v>
      </c>
    </row>
    <row r="73" spans="2:21" ht="20" customHeight="1">
      <c r="B73" s="165"/>
      <c r="F73" s="54"/>
      <c r="G73" s="154"/>
      <c r="H73"/>
      <c r="I73" s="52"/>
      <c r="K73"/>
    </row>
    <row r="74" spans="2:21" ht="15">
      <c r="B74" s="352" t="s">
        <v>163</v>
      </c>
      <c r="C74" s="352"/>
      <c r="D74" s="352"/>
      <c r="E74" s="352"/>
      <c r="F74" s="352"/>
      <c r="G74" s="352"/>
      <c r="H74" s="352"/>
      <c r="I74" s="352"/>
      <c r="J74" s="352"/>
      <c r="K74"/>
    </row>
    <row r="75" spans="2:21" ht="20" customHeight="1">
      <c r="C75" s="166" t="s">
        <v>164</v>
      </c>
      <c r="D75" s="166"/>
      <c r="E75" s="166"/>
      <c r="F75" s="166"/>
      <c r="G75" s="166"/>
      <c r="H75" s="166"/>
      <c r="I75" s="166"/>
      <c r="J75" s="166"/>
      <c r="K75"/>
    </row>
    <row r="76" spans="2:21" ht="40" customHeight="1">
      <c r="C76" s="288" t="s">
        <v>165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</row>
    <row r="77" spans="2:21" ht="20" customHeight="1">
      <c r="B77" s="165"/>
      <c r="F77" s="54"/>
      <c r="G77" s="154"/>
      <c r="H77"/>
      <c r="I77" s="52"/>
      <c r="K77"/>
    </row>
    <row r="78" spans="2:21" ht="20" customHeight="1">
      <c r="B78" s="352" t="s">
        <v>166</v>
      </c>
      <c r="C78" s="352"/>
      <c r="D78" s="352"/>
      <c r="E78" s="352"/>
      <c r="F78" s="352"/>
      <c r="G78" s="352"/>
      <c r="H78" s="352"/>
      <c r="I78" s="352"/>
      <c r="J78" s="352"/>
      <c r="K78"/>
    </row>
    <row r="79" spans="2:21" ht="40" customHeight="1">
      <c r="C79" s="288" t="s">
        <v>167</v>
      </c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</row>
    <row r="80" spans="2:21" ht="40" customHeight="1">
      <c r="B80" s="169"/>
      <c r="C80" s="288" t="s">
        <v>168</v>
      </c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</row>
    <row r="81" spans="2:21" ht="40" customHeight="1">
      <c r="B81" s="170"/>
      <c r="C81" s="288" t="s">
        <v>169</v>
      </c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</row>
    <row r="82" spans="2:21" ht="20" customHeight="1">
      <c r="C82" s="166"/>
      <c r="D82" s="166"/>
      <c r="E82" s="166"/>
      <c r="F82" s="166"/>
      <c r="G82" s="166"/>
      <c r="H82" s="166"/>
      <c r="I82" s="166"/>
      <c r="J82" s="166"/>
      <c r="K82"/>
    </row>
    <row r="83" spans="2:21" ht="20" customHeight="1">
      <c r="B83" s="352" t="s">
        <v>170</v>
      </c>
      <c r="C83" s="352"/>
      <c r="D83" s="352"/>
      <c r="E83" s="352"/>
      <c r="F83" s="352"/>
      <c r="G83" s="352"/>
      <c r="H83" s="352"/>
      <c r="I83" s="352"/>
      <c r="J83" s="352"/>
      <c r="K83"/>
    </row>
    <row r="84" spans="2:21" ht="40" customHeight="1">
      <c r="C84" s="288" t="s">
        <v>171</v>
      </c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</row>
    <row r="85" spans="2:21" ht="24" customHeight="1"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</row>
    <row r="86" spans="2:21" ht="40" customHeight="1"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</row>
    <row r="87" spans="2:21" ht="20" customHeight="1">
      <c r="B87" s="165"/>
      <c r="F87" s="54"/>
      <c r="G87" s="154"/>
      <c r="H87"/>
      <c r="I87" s="52"/>
      <c r="K87"/>
    </row>
    <row r="88" spans="2:21" ht="20" customHeight="1">
      <c r="B88" s="352" t="s">
        <v>172</v>
      </c>
      <c r="C88" s="352"/>
      <c r="D88" s="352"/>
      <c r="E88" s="352"/>
      <c r="F88" s="352"/>
      <c r="G88" s="352"/>
      <c r="H88" s="352"/>
      <c r="I88" s="352"/>
      <c r="J88" s="352"/>
      <c r="K88"/>
    </row>
    <row r="89" spans="2:21" ht="40" customHeight="1">
      <c r="C89" s="288" t="s">
        <v>173</v>
      </c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</row>
    <row r="90" spans="2:21" ht="40" customHeight="1">
      <c r="C90" s="288" t="s">
        <v>174</v>
      </c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</row>
    <row r="91" spans="2:21" ht="60" customHeight="1">
      <c r="C91" s="288" t="s">
        <v>175</v>
      </c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</row>
    <row r="92" spans="2:21" ht="40" customHeight="1">
      <c r="C92" s="288" t="s">
        <v>176</v>
      </c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</row>
    <row r="93" spans="2:21" ht="20" customHeight="1">
      <c r="B93" s="165"/>
      <c r="F93" s="54"/>
      <c r="G93" s="154"/>
      <c r="H93"/>
      <c r="I93" s="52"/>
      <c r="K93"/>
    </row>
    <row r="94" spans="2:21" ht="20" customHeight="1">
      <c r="B94" s="352" t="s">
        <v>177</v>
      </c>
      <c r="C94" s="352"/>
      <c r="D94" s="352"/>
      <c r="E94" s="352"/>
      <c r="F94" s="352"/>
      <c r="G94" s="352"/>
      <c r="H94" s="352"/>
      <c r="I94" s="352"/>
      <c r="J94" s="352"/>
      <c r="K94"/>
    </row>
    <row r="95" spans="2:21" ht="40" customHeight="1">
      <c r="C95" s="288" t="s">
        <v>178</v>
      </c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</row>
    <row r="96" spans="2:21" ht="40" customHeight="1">
      <c r="C96" s="288" t="s">
        <v>179</v>
      </c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</row>
    <row r="97" spans="2:21" ht="40" customHeight="1">
      <c r="C97" s="288" t="s">
        <v>180</v>
      </c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</row>
    <row r="98" spans="2:21" ht="20" customHeight="1">
      <c r="B98" s="165"/>
      <c r="F98" s="54"/>
      <c r="G98" s="154"/>
      <c r="H98"/>
      <c r="I98" s="52"/>
      <c r="K98"/>
    </row>
    <row r="99" spans="2:21" ht="20" customHeight="1">
      <c r="B99" s="352" t="s">
        <v>181</v>
      </c>
      <c r="C99" s="352"/>
      <c r="D99" s="352"/>
      <c r="E99" s="352"/>
      <c r="F99" s="352"/>
      <c r="G99" s="352"/>
      <c r="H99" s="352"/>
      <c r="I99" s="352"/>
      <c r="J99" s="352"/>
      <c r="K99"/>
    </row>
    <row r="100" spans="2:21" ht="60" customHeight="1">
      <c r="C100" s="288" t="s">
        <v>182</v>
      </c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</row>
    <row r="101" spans="2:21" ht="40" customHeight="1">
      <c r="C101" s="288" t="s">
        <v>183</v>
      </c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</row>
    <row r="102" spans="2:21" ht="20" customHeight="1">
      <c r="B102" s="165"/>
      <c r="F102" s="54"/>
      <c r="G102" s="154"/>
      <c r="H102"/>
      <c r="I102" s="52"/>
      <c r="K102"/>
    </row>
    <row r="103" spans="2:21" ht="20" customHeight="1">
      <c r="B103" s="352" t="s">
        <v>184</v>
      </c>
      <c r="C103" s="352"/>
      <c r="D103" s="352"/>
      <c r="E103" s="352"/>
      <c r="F103" s="352"/>
      <c r="G103" s="352"/>
      <c r="H103" s="352"/>
      <c r="I103" s="352"/>
      <c r="J103" s="352"/>
      <c r="K103"/>
    </row>
    <row r="104" spans="2:21" ht="40" customHeight="1">
      <c r="B104" s="170"/>
      <c r="C104" s="288" t="s">
        <v>185</v>
      </c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</row>
    <row r="105" spans="2:21" ht="55.5" customHeight="1">
      <c r="B105" s="170"/>
      <c r="C105" s="288" t="s">
        <v>186</v>
      </c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</row>
    <row r="106" spans="2:21" ht="40" customHeight="1">
      <c r="B106" s="170"/>
      <c r="C106" s="288" t="s">
        <v>187</v>
      </c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</row>
    <row r="107" spans="2:21" ht="20" customHeight="1">
      <c r="B107" s="165"/>
      <c r="F107" s="54"/>
      <c r="G107" s="154"/>
      <c r="H107"/>
      <c r="I107" s="52"/>
      <c r="K107"/>
    </row>
    <row r="108" spans="2:21" ht="20" customHeight="1">
      <c r="B108" s="352" t="s">
        <v>188</v>
      </c>
      <c r="C108" s="352"/>
      <c r="D108" s="352"/>
      <c r="E108" s="352"/>
      <c r="F108" s="352"/>
      <c r="G108" s="352"/>
      <c r="H108" s="352"/>
      <c r="I108" s="352"/>
      <c r="J108" s="352"/>
      <c r="K108"/>
    </row>
    <row r="109" spans="2:21" ht="40" customHeight="1">
      <c r="C109" s="288" t="s">
        <v>189</v>
      </c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</row>
    <row r="110" spans="2:21" ht="20" customHeight="1">
      <c r="B110" s="165"/>
      <c r="F110" s="54"/>
      <c r="G110" s="154"/>
      <c r="H110"/>
      <c r="I110" s="52"/>
      <c r="K110"/>
    </row>
    <row r="111" spans="2:21" ht="20" customHeight="1">
      <c r="B111" s="164" t="s">
        <v>190</v>
      </c>
      <c r="C111" s="167"/>
      <c r="D111" s="167"/>
      <c r="E111" s="167"/>
      <c r="F111" s="167"/>
      <c r="G111" s="167"/>
      <c r="H111" s="167"/>
      <c r="I111" s="167"/>
      <c r="J111" s="167"/>
      <c r="K111"/>
    </row>
    <row r="112" spans="2:21" ht="20" customHeight="1">
      <c r="C112" s="354" t="s">
        <v>191</v>
      </c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</row>
    <row r="113" spans="2:21" ht="20" customHeight="1">
      <c r="B113" s="171"/>
      <c r="C113" s="355" t="s">
        <v>192</v>
      </c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  <c r="T113" s="355"/>
      <c r="U113" s="355"/>
    </row>
    <row r="114" spans="2:21" ht="20" customHeight="1">
      <c r="B114" s="171"/>
      <c r="C114" s="355" t="s">
        <v>193</v>
      </c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</row>
    <row r="115" spans="2:21" ht="20" customHeight="1">
      <c r="B115" s="171"/>
      <c r="C115" s="355" t="s">
        <v>194</v>
      </c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5"/>
    </row>
    <row r="116" spans="2:21" ht="20" customHeight="1">
      <c r="B116" s="171"/>
      <c r="C116" s="355" t="s">
        <v>195</v>
      </c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</row>
    <row r="117" spans="2:21" ht="20" customHeight="1">
      <c r="B117" s="165"/>
      <c r="F117" s="54"/>
      <c r="G117" s="154"/>
      <c r="H117"/>
      <c r="I117" s="52"/>
      <c r="K117"/>
    </row>
    <row r="118" spans="2:21" ht="20" customHeight="1">
      <c r="B118" s="164" t="s">
        <v>196</v>
      </c>
      <c r="C118" s="167"/>
      <c r="D118" s="167"/>
      <c r="E118" s="167"/>
      <c r="F118" s="167"/>
      <c r="G118" s="167"/>
      <c r="H118" s="167"/>
      <c r="I118" s="167"/>
      <c r="J118" s="167"/>
      <c r="K118"/>
    </row>
    <row r="119" spans="2:21" ht="40" customHeight="1">
      <c r="C119" s="288" t="s">
        <v>197</v>
      </c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</row>
    <row r="120" spans="2:21" ht="20" customHeight="1">
      <c r="B120" s="165"/>
      <c r="F120" s="54"/>
      <c r="G120" s="154"/>
      <c r="H120"/>
      <c r="I120" s="52"/>
      <c r="K120"/>
    </row>
    <row r="121" spans="2:21" ht="20" customHeight="1">
      <c r="B121" s="352" t="s">
        <v>198</v>
      </c>
      <c r="C121" s="352"/>
      <c r="D121" s="352"/>
      <c r="E121" s="352"/>
      <c r="F121" s="352"/>
      <c r="G121" s="352"/>
      <c r="H121" s="352"/>
      <c r="I121" s="352"/>
      <c r="J121" s="352"/>
      <c r="K121"/>
    </row>
    <row r="122" spans="2:21" ht="40" customHeight="1">
      <c r="C122" s="288" t="s">
        <v>199</v>
      </c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</row>
    <row r="123" spans="2:21" ht="20" customHeight="1"/>
    <row r="124" spans="2:21" ht="20" customHeight="1">
      <c r="B124" s="373" t="s">
        <v>200</v>
      </c>
      <c r="C124" s="373"/>
      <c r="D124" s="373"/>
      <c r="E124" s="373"/>
      <c r="F124" s="373"/>
      <c r="G124" s="373"/>
      <c r="H124" s="373"/>
      <c r="I124" s="373"/>
    </row>
    <row r="125" spans="2:21" ht="33.75" customHeight="1" thickBot="1">
      <c r="B125" s="374" t="s">
        <v>201</v>
      </c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</row>
    <row r="126" spans="2:21" ht="50" customHeight="1">
      <c r="B126" s="375" t="s">
        <v>202</v>
      </c>
      <c r="C126" s="376"/>
      <c r="D126" s="376"/>
      <c r="E126" s="376"/>
      <c r="F126" s="377" t="s">
        <v>203</v>
      </c>
      <c r="G126" s="376"/>
      <c r="H126" s="376"/>
      <c r="I126" s="376"/>
      <c r="J126" s="376"/>
      <c r="K126" s="376"/>
      <c r="L126" s="376"/>
      <c r="M126" s="377" t="s">
        <v>204</v>
      </c>
      <c r="N126" s="376"/>
      <c r="O126" s="376"/>
      <c r="P126" s="376"/>
      <c r="Q126" s="376"/>
      <c r="R126" s="376"/>
      <c r="S126" s="376"/>
      <c r="T126" s="376"/>
      <c r="U126" s="378"/>
    </row>
    <row r="127" spans="2:21" ht="50" customHeight="1">
      <c r="B127" s="356" t="s">
        <v>205</v>
      </c>
      <c r="C127" s="357"/>
      <c r="D127" s="357"/>
      <c r="E127" s="357"/>
      <c r="F127" s="362" t="s">
        <v>206</v>
      </c>
      <c r="G127" s="363"/>
      <c r="H127" s="363"/>
      <c r="I127" s="363"/>
      <c r="J127" s="363"/>
      <c r="K127" s="363"/>
      <c r="L127" s="364"/>
      <c r="M127" s="365" t="s">
        <v>207</v>
      </c>
      <c r="N127" s="365"/>
      <c r="O127" s="365"/>
      <c r="P127" s="365"/>
      <c r="Q127" s="365"/>
      <c r="R127" s="365"/>
      <c r="S127" s="365"/>
      <c r="T127" s="365"/>
      <c r="U127" s="366"/>
    </row>
    <row r="128" spans="2:21" ht="50" customHeight="1">
      <c r="B128" s="358"/>
      <c r="C128" s="359"/>
      <c r="D128" s="359"/>
      <c r="E128" s="359"/>
      <c r="F128" s="367" t="s">
        <v>208</v>
      </c>
      <c r="G128" s="368"/>
      <c r="H128" s="368"/>
      <c r="I128" s="368"/>
      <c r="J128" s="368"/>
      <c r="K128" s="368"/>
      <c r="L128" s="369"/>
      <c r="M128" s="365"/>
      <c r="N128" s="365"/>
      <c r="O128" s="365"/>
      <c r="P128" s="365"/>
      <c r="Q128" s="365"/>
      <c r="R128" s="365"/>
      <c r="S128" s="365"/>
      <c r="T128" s="365"/>
      <c r="U128" s="366"/>
    </row>
    <row r="129" spans="2:21" ht="50" customHeight="1">
      <c r="B129" s="358"/>
      <c r="C129" s="359"/>
      <c r="D129" s="359"/>
      <c r="E129" s="359"/>
      <c r="F129" s="367" t="s">
        <v>209</v>
      </c>
      <c r="G129" s="368"/>
      <c r="H129" s="368"/>
      <c r="I129" s="368"/>
      <c r="J129" s="368"/>
      <c r="K129" s="368"/>
      <c r="L129" s="369"/>
      <c r="M129" s="365"/>
      <c r="N129" s="365"/>
      <c r="O129" s="365"/>
      <c r="P129" s="365"/>
      <c r="Q129" s="365"/>
      <c r="R129" s="365"/>
      <c r="S129" s="365"/>
      <c r="T129" s="365"/>
      <c r="U129" s="366"/>
    </row>
    <row r="130" spans="2:21" ht="50" customHeight="1">
      <c r="B130" s="360"/>
      <c r="C130" s="361"/>
      <c r="D130" s="361"/>
      <c r="E130" s="361"/>
      <c r="F130" s="370" t="s">
        <v>210</v>
      </c>
      <c r="G130" s="371"/>
      <c r="H130" s="371"/>
      <c r="I130" s="371"/>
      <c r="J130" s="371"/>
      <c r="K130" s="371"/>
      <c r="L130" s="372"/>
      <c r="M130" s="365"/>
      <c r="N130" s="365"/>
      <c r="O130" s="365"/>
      <c r="P130" s="365"/>
      <c r="Q130" s="365"/>
      <c r="R130" s="365"/>
      <c r="S130" s="365"/>
      <c r="T130" s="365"/>
      <c r="U130" s="366"/>
    </row>
    <row r="131" spans="2:21" ht="50" customHeight="1">
      <c r="B131" s="356" t="s">
        <v>211</v>
      </c>
      <c r="C131" s="357"/>
      <c r="D131" s="357"/>
      <c r="E131" s="357"/>
      <c r="F131" s="362" t="s">
        <v>212</v>
      </c>
      <c r="G131" s="363"/>
      <c r="H131" s="363"/>
      <c r="I131" s="363"/>
      <c r="J131" s="363"/>
      <c r="K131" s="363"/>
      <c r="L131" s="364"/>
      <c r="M131" s="365" t="s">
        <v>207</v>
      </c>
      <c r="N131" s="365"/>
      <c r="O131" s="365"/>
      <c r="P131" s="365"/>
      <c r="Q131" s="365"/>
      <c r="R131" s="365"/>
      <c r="S131" s="365"/>
      <c r="T131" s="365"/>
      <c r="U131" s="366"/>
    </row>
    <row r="132" spans="2:21" ht="50" customHeight="1">
      <c r="B132" s="358"/>
      <c r="C132" s="359"/>
      <c r="D132" s="359"/>
      <c r="E132" s="359"/>
      <c r="F132" s="384" t="s">
        <v>213</v>
      </c>
      <c r="G132" s="385"/>
      <c r="H132" s="385"/>
      <c r="I132" s="385"/>
      <c r="J132" s="385"/>
      <c r="K132" s="385"/>
      <c r="L132" s="386"/>
      <c r="M132" s="365"/>
      <c r="N132" s="365"/>
      <c r="O132" s="365"/>
      <c r="P132" s="365"/>
      <c r="Q132" s="365"/>
      <c r="R132" s="365"/>
      <c r="S132" s="365"/>
      <c r="T132" s="365"/>
      <c r="U132" s="366"/>
    </row>
    <row r="133" spans="2:21" ht="50" customHeight="1">
      <c r="B133" s="360"/>
      <c r="C133" s="361"/>
      <c r="D133" s="361"/>
      <c r="E133" s="361"/>
      <c r="F133" s="370" t="s">
        <v>214</v>
      </c>
      <c r="G133" s="371"/>
      <c r="H133" s="371"/>
      <c r="I133" s="371"/>
      <c r="J133" s="371"/>
      <c r="K133" s="371"/>
      <c r="L133" s="372"/>
      <c r="M133" s="365"/>
      <c r="N133" s="365"/>
      <c r="O133" s="365"/>
      <c r="P133" s="365"/>
      <c r="Q133" s="365"/>
      <c r="R133" s="365"/>
      <c r="S133" s="365"/>
      <c r="T133" s="365"/>
      <c r="U133" s="366"/>
    </row>
    <row r="134" spans="2:21" ht="50" customHeight="1">
      <c r="B134" s="358" t="s">
        <v>215</v>
      </c>
      <c r="C134" s="359"/>
      <c r="D134" s="359"/>
      <c r="E134" s="359"/>
      <c r="F134" s="367" t="s">
        <v>216</v>
      </c>
      <c r="G134" s="368"/>
      <c r="H134" s="368"/>
      <c r="I134" s="368"/>
      <c r="J134" s="368"/>
      <c r="K134" s="368"/>
      <c r="L134" s="369"/>
      <c r="M134" s="365" t="s">
        <v>207</v>
      </c>
      <c r="N134" s="365"/>
      <c r="O134" s="365"/>
      <c r="P134" s="365"/>
      <c r="Q134" s="365"/>
      <c r="R134" s="365"/>
      <c r="S134" s="365"/>
      <c r="T134" s="365"/>
      <c r="U134" s="366"/>
    </row>
    <row r="135" spans="2:21" ht="50" customHeight="1">
      <c r="B135" s="358"/>
      <c r="C135" s="359"/>
      <c r="D135" s="359"/>
      <c r="E135" s="359"/>
      <c r="F135" s="367" t="s">
        <v>217</v>
      </c>
      <c r="G135" s="368"/>
      <c r="H135" s="368"/>
      <c r="I135" s="368"/>
      <c r="J135" s="368"/>
      <c r="K135" s="368"/>
      <c r="L135" s="369"/>
      <c r="M135" s="365"/>
      <c r="N135" s="365"/>
      <c r="O135" s="365"/>
      <c r="P135" s="365"/>
      <c r="Q135" s="365"/>
      <c r="R135" s="365"/>
      <c r="S135" s="365"/>
      <c r="T135" s="365"/>
      <c r="U135" s="366"/>
    </row>
    <row r="136" spans="2:21" ht="50" customHeight="1">
      <c r="B136" s="379" t="s">
        <v>218</v>
      </c>
      <c r="C136" s="380"/>
      <c r="D136" s="380"/>
      <c r="E136" s="380"/>
      <c r="F136" s="381" t="s">
        <v>219</v>
      </c>
      <c r="G136" s="382"/>
      <c r="H136" s="382"/>
      <c r="I136" s="382"/>
      <c r="J136" s="382"/>
      <c r="K136" s="382"/>
      <c r="L136" s="383"/>
      <c r="M136" s="365" t="s">
        <v>219</v>
      </c>
      <c r="N136" s="365"/>
      <c r="O136" s="365"/>
      <c r="P136" s="365"/>
      <c r="Q136" s="365"/>
      <c r="R136" s="365"/>
      <c r="S136" s="365"/>
      <c r="T136" s="365"/>
      <c r="U136" s="366"/>
    </row>
    <row r="137" spans="2:21" ht="50" customHeight="1">
      <c r="B137" s="358" t="s">
        <v>220</v>
      </c>
      <c r="C137" s="359"/>
      <c r="D137" s="359"/>
      <c r="E137" s="359"/>
      <c r="F137" s="367" t="s">
        <v>219</v>
      </c>
      <c r="G137" s="368"/>
      <c r="H137" s="368"/>
      <c r="I137" s="368"/>
      <c r="J137" s="368"/>
      <c r="K137" s="368"/>
      <c r="L137" s="369"/>
      <c r="M137" s="365" t="s">
        <v>219</v>
      </c>
      <c r="N137" s="365"/>
      <c r="O137" s="365"/>
      <c r="P137" s="365"/>
      <c r="Q137" s="365"/>
      <c r="R137" s="365"/>
      <c r="S137" s="365"/>
      <c r="T137" s="365"/>
      <c r="U137" s="366"/>
    </row>
    <row r="138" spans="2:21" ht="50" customHeight="1" thickBot="1">
      <c r="B138" s="387" t="s">
        <v>221</v>
      </c>
      <c r="C138" s="388"/>
      <c r="D138" s="388"/>
      <c r="E138" s="388"/>
      <c r="F138" s="389" t="s">
        <v>222</v>
      </c>
      <c r="G138" s="390"/>
      <c r="H138" s="390"/>
      <c r="I138" s="390"/>
      <c r="J138" s="390"/>
      <c r="K138" s="390"/>
      <c r="L138" s="391"/>
      <c r="M138" s="392" t="s">
        <v>207</v>
      </c>
      <c r="N138" s="392"/>
      <c r="O138" s="392"/>
      <c r="P138" s="392"/>
      <c r="Q138" s="392"/>
      <c r="R138" s="392"/>
      <c r="S138" s="392"/>
      <c r="T138" s="392"/>
      <c r="U138" s="393"/>
    </row>
    <row r="139" spans="2:21">
      <c r="F139" s="54"/>
      <c r="G139" s="154"/>
      <c r="H139"/>
      <c r="I139" s="52"/>
    </row>
    <row r="148" spans="2:21" ht="52.5" customHeight="1">
      <c r="B148" s="373" t="s">
        <v>223</v>
      </c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</row>
    <row r="149" spans="2:21" ht="42" customHeight="1" thickBot="1">
      <c r="B149" s="374" t="s">
        <v>224</v>
      </c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</row>
    <row r="150" spans="2:21" ht="30" customHeight="1">
      <c r="B150" s="394" t="s">
        <v>45</v>
      </c>
      <c r="C150" s="395"/>
      <c r="D150" s="395"/>
      <c r="E150" s="395"/>
      <c r="F150" s="395"/>
      <c r="G150" s="395"/>
      <c r="H150" s="395"/>
      <c r="I150" s="396"/>
      <c r="J150" s="396"/>
      <c r="K150" s="396"/>
      <c r="L150" s="396"/>
      <c r="M150" s="397" t="s">
        <v>225</v>
      </c>
      <c r="N150" s="397"/>
      <c r="O150" s="36"/>
      <c r="P150" s="172" t="s">
        <v>226</v>
      </c>
      <c r="Q150" s="36"/>
      <c r="R150" s="398">
        <f>INT(SUM(R151,R152,R153,R154,R155,R156,R157,R158))</f>
        <v>601960</v>
      </c>
      <c r="S150" s="398"/>
      <c r="T150" s="398"/>
      <c r="U150" s="399"/>
    </row>
    <row r="151" spans="2:21" ht="25" customHeight="1">
      <c r="B151" s="173"/>
      <c r="C151" s="405" t="s">
        <v>32</v>
      </c>
      <c r="D151" s="405"/>
      <c r="E151" s="405"/>
      <c r="F151" s="406" t="s">
        <v>227</v>
      </c>
      <c r="G151" s="406"/>
      <c r="H151" s="406"/>
      <c r="I151" s="407">
        <v>358273</v>
      </c>
      <c r="J151" s="407"/>
      <c r="K151" s="407"/>
      <c r="L151" s="407"/>
      <c r="M151" s="408" t="s">
        <v>228</v>
      </c>
      <c r="N151" s="408"/>
      <c r="O151" s="174" t="s">
        <v>229</v>
      </c>
      <c r="P151" s="175">
        <v>0</v>
      </c>
      <c r="Q151" s="176"/>
      <c r="R151" s="409">
        <f t="shared" ref="R151:R158" si="0">P151*I151</f>
        <v>0</v>
      </c>
      <c r="S151" s="409"/>
      <c r="T151" s="409"/>
      <c r="U151" s="410"/>
    </row>
    <row r="152" spans="2:21" ht="25" customHeight="1">
      <c r="B152" s="177"/>
      <c r="C152" s="178"/>
      <c r="F152" s="400" t="s">
        <v>230</v>
      </c>
      <c r="G152" s="400"/>
      <c r="H152" s="400"/>
      <c r="I152" s="401">
        <v>300980</v>
      </c>
      <c r="J152" s="401"/>
      <c r="K152" s="401"/>
      <c r="L152" s="401"/>
      <c r="M152" s="402" t="s">
        <v>228</v>
      </c>
      <c r="N152" s="402"/>
      <c r="O152" s="61" t="s">
        <v>229</v>
      </c>
      <c r="P152" s="179">
        <v>1</v>
      </c>
      <c r="Q152" s="6"/>
      <c r="R152" s="403">
        <f t="shared" si="0"/>
        <v>300980</v>
      </c>
      <c r="S152" s="403"/>
      <c r="T152" s="403"/>
      <c r="U152" s="404"/>
    </row>
    <row r="153" spans="2:21" ht="25" customHeight="1">
      <c r="B153" s="177"/>
      <c r="C153" s="178"/>
      <c r="F153" s="400" t="s">
        <v>231</v>
      </c>
      <c r="G153" s="400"/>
      <c r="H153" s="400"/>
      <c r="I153" s="401">
        <v>284046</v>
      </c>
      <c r="J153" s="401"/>
      <c r="K153" s="401"/>
      <c r="L153" s="401"/>
      <c r="M153" s="402" t="s">
        <v>232</v>
      </c>
      <c r="N153" s="402"/>
      <c r="O153" s="61" t="s">
        <v>229</v>
      </c>
      <c r="P153" s="179">
        <v>0</v>
      </c>
      <c r="Q153" s="6"/>
      <c r="R153" s="403">
        <f t="shared" si="0"/>
        <v>0</v>
      </c>
      <c r="S153" s="403"/>
      <c r="T153" s="403"/>
      <c r="U153" s="404"/>
    </row>
    <row r="154" spans="2:21" ht="25" customHeight="1">
      <c r="B154" s="177"/>
      <c r="C154" s="178"/>
      <c r="F154" s="400" t="s">
        <v>233</v>
      </c>
      <c r="G154" s="400"/>
      <c r="H154" s="400"/>
      <c r="I154" s="401">
        <v>223644</v>
      </c>
      <c r="J154" s="401"/>
      <c r="K154" s="401"/>
      <c r="L154" s="401"/>
      <c r="M154" s="402" t="s">
        <v>232</v>
      </c>
      <c r="N154" s="402"/>
      <c r="O154" s="61" t="s">
        <v>229</v>
      </c>
      <c r="P154" s="179">
        <v>0</v>
      </c>
      <c r="Q154" s="6"/>
      <c r="R154" s="403">
        <f t="shared" si="0"/>
        <v>0</v>
      </c>
      <c r="S154" s="403"/>
      <c r="T154" s="403"/>
      <c r="U154" s="404"/>
    </row>
    <row r="155" spans="2:21" ht="25" customHeight="1">
      <c r="B155" s="180"/>
      <c r="C155" s="411" t="s">
        <v>33</v>
      </c>
      <c r="D155" s="411"/>
      <c r="E155" s="411"/>
      <c r="F155" s="400" t="s">
        <v>227</v>
      </c>
      <c r="G155" s="400"/>
      <c r="H155" s="400"/>
      <c r="I155" s="401">
        <f>I151</f>
        <v>358273</v>
      </c>
      <c r="J155" s="401"/>
      <c r="K155" s="401"/>
      <c r="L155" s="401"/>
      <c r="M155" s="402" t="s">
        <v>232</v>
      </c>
      <c r="N155" s="402"/>
      <c r="O155" s="61" t="s">
        <v>229</v>
      </c>
      <c r="P155" s="179">
        <v>0</v>
      </c>
      <c r="Q155" s="6"/>
      <c r="R155" s="403">
        <f t="shared" si="0"/>
        <v>0</v>
      </c>
      <c r="S155" s="403"/>
      <c r="T155" s="403"/>
      <c r="U155" s="404"/>
    </row>
    <row r="156" spans="2:21" ht="25" customHeight="1">
      <c r="B156" s="177"/>
      <c r="C156" s="178"/>
      <c r="F156" s="400" t="s">
        <v>230</v>
      </c>
      <c r="G156" s="400"/>
      <c r="H156" s="400"/>
      <c r="I156" s="401">
        <f>I152</f>
        <v>300980</v>
      </c>
      <c r="J156" s="401"/>
      <c r="K156" s="401"/>
      <c r="L156" s="401"/>
      <c r="M156" s="402" t="s">
        <v>232</v>
      </c>
      <c r="N156" s="402"/>
      <c r="O156" s="61" t="s">
        <v>229</v>
      </c>
      <c r="P156" s="179">
        <v>1</v>
      </c>
      <c r="Q156" s="6"/>
      <c r="R156" s="403">
        <f t="shared" si="0"/>
        <v>300980</v>
      </c>
      <c r="S156" s="403"/>
      <c r="T156" s="403"/>
      <c r="U156" s="404"/>
    </row>
    <row r="157" spans="2:21" ht="25" customHeight="1">
      <c r="B157" s="177"/>
      <c r="C157" s="181"/>
      <c r="F157" s="400" t="s">
        <v>231</v>
      </c>
      <c r="G157" s="400"/>
      <c r="H157" s="400"/>
      <c r="I157" s="401">
        <f>I153</f>
        <v>284046</v>
      </c>
      <c r="J157" s="401"/>
      <c r="K157" s="401"/>
      <c r="L157" s="401"/>
      <c r="M157" s="402" t="s">
        <v>232</v>
      </c>
      <c r="N157" s="402"/>
      <c r="O157" s="61" t="s">
        <v>229</v>
      </c>
      <c r="P157" s="179">
        <v>0</v>
      </c>
      <c r="Q157" s="6"/>
      <c r="R157" s="403">
        <f t="shared" si="0"/>
        <v>0</v>
      </c>
      <c r="S157" s="403"/>
      <c r="T157" s="403"/>
      <c r="U157" s="404"/>
    </row>
    <row r="158" spans="2:21" ht="25" customHeight="1">
      <c r="B158" s="182"/>
      <c r="C158" s="183"/>
      <c r="D158" s="184"/>
      <c r="E158" s="184"/>
      <c r="F158" s="421" t="s">
        <v>233</v>
      </c>
      <c r="G158" s="421"/>
      <c r="H158" s="421"/>
      <c r="I158" s="422">
        <f>I154</f>
        <v>223644</v>
      </c>
      <c r="J158" s="422"/>
      <c r="K158" s="422"/>
      <c r="L158" s="422"/>
      <c r="M158" s="423" t="s">
        <v>232</v>
      </c>
      <c r="N158" s="423"/>
      <c r="O158" s="185" t="s">
        <v>229</v>
      </c>
      <c r="P158" s="186">
        <v>0</v>
      </c>
      <c r="Q158" s="187"/>
      <c r="R158" s="424">
        <f t="shared" si="0"/>
        <v>0</v>
      </c>
      <c r="S158" s="424"/>
      <c r="T158" s="424"/>
      <c r="U158" s="425"/>
    </row>
    <row r="159" spans="2:21" ht="30" customHeight="1">
      <c r="B159" s="412" t="s">
        <v>28</v>
      </c>
      <c r="C159" s="413"/>
      <c r="D159" s="413"/>
      <c r="E159" s="413"/>
      <c r="F159" s="413"/>
      <c r="G159" s="413"/>
      <c r="H159" s="413"/>
      <c r="I159" s="414" t="s">
        <v>234</v>
      </c>
      <c r="J159" s="414"/>
      <c r="K159" s="414"/>
      <c r="L159" s="414"/>
      <c r="M159" s="415" t="s">
        <v>43</v>
      </c>
      <c r="N159" s="415"/>
      <c r="O159" s="189"/>
      <c r="P159" s="188">
        <v>5</v>
      </c>
      <c r="Q159" s="189"/>
      <c r="R159" s="416">
        <f>R150*P159%</f>
        <v>30098</v>
      </c>
      <c r="S159" s="416"/>
      <c r="T159" s="416"/>
      <c r="U159" s="417"/>
    </row>
    <row r="160" spans="2:21" ht="30" customHeight="1">
      <c r="B160" s="412" t="s">
        <v>29</v>
      </c>
      <c r="C160" s="413"/>
      <c r="D160" s="413"/>
      <c r="E160" s="413"/>
      <c r="F160" s="413"/>
      <c r="G160" s="413"/>
      <c r="H160" s="413"/>
      <c r="I160" s="418" t="s">
        <v>235</v>
      </c>
      <c r="J160" s="418"/>
      <c r="K160" s="418"/>
      <c r="L160" s="418"/>
      <c r="M160" s="415" t="s">
        <v>43</v>
      </c>
      <c r="N160" s="415"/>
      <c r="O160" s="189"/>
      <c r="P160" s="188">
        <v>5</v>
      </c>
      <c r="Q160" s="189"/>
      <c r="R160" s="419">
        <f>(R150+R159)*P160%</f>
        <v>31602.9</v>
      </c>
      <c r="S160" s="419"/>
      <c r="T160" s="419"/>
      <c r="U160" s="420"/>
    </row>
    <row r="161" spans="2:21" ht="30" customHeight="1">
      <c r="B161" s="427" t="s">
        <v>30</v>
      </c>
      <c r="C161" s="428"/>
      <c r="D161" s="428"/>
      <c r="E161" s="428"/>
      <c r="F161" s="428"/>
      <c r="G161" s="428"/>
      <c r="H161" s="428"/>
      <c r="I161" s="406"/>
      <c r="J161" s="406"/>
      <c r="K161" s="406"/>
      <c r="L161" s="174"/>
      <c r="M161" s="190"/>
      <c r="N161" s="176"/>
      <c r="O161" s="174"/>
      <c r="P161" s="176"/>
      <c r="Q161" s="176"/>
      <c r="R161" s="429">
        <f>SUM(R163:R167)</f>
        <v>130196</v>
      </c>
      <c r="S161" s="429"/>
      <c r="T161" s="429"/>
      <c r="U161" s="430"/>
    </row>
    <row r="162" spans="2:21" ht="25" customHeight="1">
      <c r="B162" s="191" t="s">
        <v>34</v>
      </c>
      <c r="C162" s="6"/>
      <c r="I162" s="192"/>
      <c r="J162" s="6"/>
      <c r="K162" s="193"/>
      <c r="L162" s="179"/>
      <c r="M162" s="194"/>
      <c r="N162" s="6"/>
      <c r="O162" s="179"/>
      <c r="P162" s="6"/>
      <c r="Q162" s="6"/>
      <c r="R162" s="403">
        <f>INT(M162*O162)</f>
        <v>0</v>
      </c>
      <c r="S162" s="403"/>
      <c r="T162" s="403"/>
      <c r="U162" s="404"/>
    </row>
    <row r="163" spans="2:21" ht="25" customHeight="1">
      <c r="B163" s="191" t="s">
        <v>35</v>
      </c>
      <c r="C163" s="6"/>
      <c r="I163" s="431">
        <v>20000</v>
      </c>
      <c r="J163" s="431"/>
      <c r="K163" s="431"/>
      <c r="L163" s="431"/>
      <c r="M163" s="402" t="s">
        <v>0</v>
      </c>
      <c r="N163" s="402"/>
      <c r="O163" s="61" t="s">
        <v>229</v>
      </c>
      <c r="P163" s="195">
        <f>SUM(P151:P154)</f>
        <v>1</v>
      </c>
      <c r="Q163" s="6"/>
      <c r="R163" s="403">
        <f>P163*I163</f>
        <v>20000</v>
      </c>
      <c r="S163" s="403"/>
      <c r="T163" s="403"/>
      <c r="U163" s="404"/>
    </row>
    <row r="164" spans="2:21" ht="25" customHeight="1">
      <c r="B164" s="191" t="s">
        <v>36</v>
      </c>
      <c r="C164" s="6"/>
      <c r="I164" s="426">
        <v>20000</v>
      </c>
      <c r="J164" s="426"/>
      <c r="K164" s="426"/>
      <c r="L164" s="426"/>
      <c r="M164" s="400" t="s">
        <v>0</v>
      </c>
      <c r="N164" s="400"/>
      <c r="O164" s="61" t="s">
        <v>229</v>
      </c>
      <c r="P164" s="179">
        <f>SUM(P151:P154)</f>
        <v>1</v>
      </c>
      <c r="Q164" s="6"/>
      <c r="R164" s="403">
        <f>P164*I164</f>
        <v>20000</v>
      </c>
      <c r="S164" s="403"/>
      <c r="T164" s="403"/>
      <c r="U164" s="404"/>
    </row>
    <row r="165" spans="2:21" ht="25" customHeight="1">
      <c r="B165" s="191" t="s">
        <v>37</v>
      </c>
      <c r="C165" s="61"/>
      <c r="I165" s="402" t="s">
        <v>236</v>
      </c>
      <c r="J165" s="402"/>
      <c r="K165" s="402"/>
      <c r="L165" s="402"/>
      <c r="M165" s="402"/>
      <c r="N165" s="402"/>
      <c r="O165" s="402"/>
      <c r="P165" s="402"/>
      <c r="Q165" s="402"/>
      <c r="R165" s="403">
        <v>30098</v>
      </c>
      <c r="S165" s="403"/>
      <c r="T165" s="403"/>
      <c r="U165" s="404"/>
    </row>
    <row r="166" spans="2:21" ht="25" customHeight="1">
      <c r="B166" s="191" t="s">
        <v>38</v>
      </c>
      <c r="C166" s="61"/>
      <c r="I166" s="402" t="s">
        <v>237</v>
      </c>
      <c r="J166" s="402"/>
      <c r="K166" s="402"/>
      <c r="L166" s="402"/>
      <c r="M166" s="402"/>
      <c r="N166" s="402"/>
      <c r="O166" s="402"/>
      <c r="P166" s="402"/>
      <c r="Q166" s="402"/>
      <c r="R166" s="403">
        <v>30098</v>
      </c>
      <c r="S166" s="403"/>
      <c r="T166" s="403"/>
      <c r="U166" s="404"/>
    </row>
    <row r="167" spans="2:21" ht="25" customHeight="1">
      <c r="B167" s="191" t="s">
        <v>39</v>
      </c>
      <c r="C167" s="61"/>
      <c r="I167" s="402"/>
      <c r="J167" s="402"/>
      <c r="K167" s="402"/>
      <c r="L167" s="402"/>
      <c r="M167" s="402"/>
      <c r="N167" s="402"/>
      <c r="O167" s="402"/>
      <c r="P167" s="402"/>
      <c r="Q167" s="402"/>
      <c r="R167" s="403">
        <v>30000</v>
      </c>
      <c r="S167" s="403"/>
      <c r="T167" s="403"/>
      <c r="U167" s="404"/>
    </row>
    <row r="168" spans="2:21" ht="30" customHeight="1">
      <c r="B168" s="412" t="s">
        <v>238</v>
      </c>
      <c r="C168" s="413"/>
      <c r="D168" s="413"/>
      <c r="E168" s="413"/>
      <c r="F168" s="413"/>
      <c r="G168" s="413"/>
      <c r="H168" s="413"/>
      <c r="I168" s="415" t="s">
        <v>239</v>
      </c>
      <c r="J168" s="415"/>
      <c r="K168" s="415"/>
      <c r="L168" s="415"/>
      <c r="M168" s="415"/>
      <c r="N168" s="415"/>
      <c r="O168" s="415"/>
      <c r="P168" s="415"/>
      <c r="Q168" s="415"/>
      <c r="R168" s="419">
        <v>0</v>
      </c>
      <c r="S168" s="419"/>
      <c r="T168" s="419"/>
      <c r="U168" s="420"/>
    </row>
    <row r="169" spans="2:21" ht="30" customHeight="1">
      <c r="B169" s="412" t="s">
        <v>240</v>
      </c>
      <c r="C169" s="413"/>
      <c r="D169" s="413"/>
      <c r="E169" s="413"/>
      <c r="F169" s="413"/>
      <c r="G169" s="413"/>
      <c r="H169" s="413"/>
      <c r="I169" s="196"/>
      <c r="J169" s="189"/>
      <c r="K169" s="197"/>
      <c r="L169" s="188" t="s">
        <v>46</v>
      </c>
      <c r="M169" s="188"/>
      <c r="N169" s="188"/>
      <c r="O169" s="188"/>
      <c r="P169" s="189"/>
      <c r="Q169" s="189"/>
      <c r="R169" s="440">
        <f>R150+R159+R160+R161</f>
        <v>793856.9</v>
      </c>
      <c r="S169" s="440"/>
      <c r="T169" s="440"/>
      <c r="U169" s="441"/>
    </row>
    <row r="170" spans="2:21" ht="25" customHeight="1">
      <c r="B170" s="436" t="s">
        <v>241</v>
      </c>
      <c r="C170" s="437"/>
      <c r="D170" s="437"/>
      <c r="E170" s="437"/>
      <c r="F170" s="437"/>
      <c r="G170" s="437"/>
      <c r="H170" s="437"/>
      <c r="I170" s="196"/>
      <c r="J170" s="189"/>
      <c r="K170" s="197"/>
      <c r="L170" s="188"/>
      <c r="M170" s="188"/>
      <c r="N170" s="188"/>
      <c r="O170" s="188"/>
      <c r="P170" s="189"/>
      <c r="Q170" s="189"/>
      <c r="R170" s="419">
        <v>93856.900000000023</v>
      </c>
      <c r="S170" s="419"/>
      <c r="T170" s="419"/>
      <c r="U170" s="420"/>
    </row>
    <row r="171" spans="2:21" ht="25" customHeight="1">
      <c r="B171" s="436" t="s">
        <v>242</v>
      </c>
      <c r="C171" s="437"/>
      <c r="D171" s="437"/>
      <c r="E171" s="437"/>
      <c r="F171" s="437"/>
      <c r="G171" s="437"/>
      <c r="H171" s="437"/>
      <c r="I171" s="196"/>
      <c r="J171" s="189"/>
      <c r="K171" s="197"/>
      <c r="L171" s="188"/>
      <c r="M171" s="188"/>
      <c r="N171" s="188"/>
      <c r="O171" s="188"/>
      <c r="P171" s="189"/>
      <c r="Q171" s="189"/>
      <c r="R171" s="419">
        <f>R169-R170</f>
        <v>700000</v>
      </c>
      <c r="S171" s="419"/>
      <c r="T171" s="419"/>
      <c r="U171" s="420"/>
    </row>
    <row r="172" spans="2:21" ht="25" customHeight="1">
      <c r="B172" s="436" t="s">
        <v>243</v>
      </c>
      <c r="C172" s="437"/>
      <c r="D172" s="437"/>
      <c r="E172" s="437"/>
      <c r="F172" s="437"/>
      <c r="G172" s="437"/>
      <c r="H172" s="437"/>
      <c r="I172" s="196"/>
      <c r="J172" s="189"/>
      <c r="K172" s="197"/>
      <c r="L172" s="188"/>
      <c r="M172" s="188"/>
      <c r="N172" s="188"/>
      <c r="O172" s="188"/>
      <c r="P172" s="189"/>
      <c r="Q172" s="189"/>
      <c r="R172" s="438" t="s">
        <v>244</v>
      </c>
      <c r="S172" s="438"/>
      <c r="T172" s="438"/>
      <c r="U172" s="439"/>
    </row>
    <row r="173" spans="2:21" ht="30" customHeight="1" thickBot="1">
      <c r="B173" s="432" t="s">
        <v>26</v>
      </c>
      <c r="C173" s="433"/>
      <c r="D173" s="433"/>
      <c r="E173" s="433"/>
      <c r="F173" s="433"/>
      <c r="G173" s="433"/>
      <c r="H173" s="433"/>
      <c r="I173" s="198"/>
      <c r="J173" s="199"/>
      <c r="K173" s="200"/>
      <c r="L173" s="201"/>
      <c r="M173" s="201"/>
      <c r="N173" s="201"/>
      <c r="O173" s="201"/>
      <c r="P173" s="199"/>
      <c r="Q173" s="199"/>
      <c r="R173" s="434">
        <f>R171</f>
        <v>700000</v>
      </c>
      <c r="S173" s="434"/>
      <c r="T173" s="434"/>
      <c r="U173" s="435"/>
    </row>
    <row r="174" spans="2:21" ht="25" customHeight="1"/>
    <row r="175" spans="2:21" ht="25" customHeight="1"/>
    <row r="176" spans="2:21" ht="25" customHeight="1"/>
    <row r="177" ht="25" customHeight="1"/>
    <row r="178" ht="25" customHeight="1"/>
    <row r="179" ht="25" customHeight="1"/>
    <row r="180" ht="25" customHeight="1"/>
    <row r="181" ht="25" customHeight="1"/>
  </sheetData>
  <mergeCells count="210">
    <mergeCell ref="B173:H173"/>
    <mergeCell ref="R173:U173"/>
    <mergeCell ref="B170:H170"/>
    <mergeCell ref="R170:U170"/>
    <mergeCell ref="B171:H171"/>
    <mergeCell ref="R171:U171"/>
    <mergeCell ref="B172:H172"/>
    <mergeCell ref="R172:U172"/>
    <mergeCell ref="I167:Q167"/>
    <mergeCell ref="R167:U167"/>
    <mergeCell ref="B168:H168"/>
    <mergeCell ref="I168:Q168"/>
    <mergeCell ref="R168:U168"/>
    <mergeCell ref="B169:H169"/>
    <mergeCell ref="R169:U169"/>
    <mergeCell ref="I164:L164"/>
    <mergeCell ref="M164:N164"/>
    <mergeCell ref="R164:U164"/>
    <mergeCell ref="I165:Q165"/>
    <mergeCell ref="R165:U165"/>
    <mergeCell ref="I166:Q166"/>
    <mergeCell ref="R166:U166"/>
    <mergeCell ref="B161:H161"/>
    <mergeCell ref="I161:K161"/>
    <mergeCell ref="R161:U161"/>
    <mergeCell ref="R162:U162"/>
    <mergeCell ref="I163:L163"/>
    <mergeCell ref="M163:N163"/>
    <mergeCell ref="R163:U163"/>
    <mergeCell ref="B159:H159"/>
    <mergeCell ref="I159:L159"/>
    <mergeCell ref="M159:N159"/>
    <mergeCell ref="R159:U159"/>
    <mergeCell ref="B160:H160"/>
    <mergeCell ref="I160:L160"/>
    <mergeCell ref="M160:N160"/>
    <mergeCell ref="R160:U160"/>
    <mergeCell ref="F157:H157"/>
    <mergeCell ref="I157:L157"/>
    <mergeCell ref="M157:N157"/>
    <mergeCell ref="R157:U157"/>
    <mergeCell ref="F158:H158"/>
    <mergeCell ref="I158:L158"/>
    <mergeCell ref="M158:N158"/>
    <mergeCell ref="R158:U158"/>
    <mergeCell ref="C155:E155"/>
    <mergeCell ref="F155:H155"/>
    <mergeCell ref="I155:L155"/>
    <mergeCell ref="M155:N155"/>
    <mergeCell ref="R155:U155"/>
    <mergeCell ref="F156:H156"/>
    <mergeCell ref="I156:L156"/>
    <mergeCell ref="M156:N156"/>
    <mergeCell ref="R156:U156"/>
    <mergeCell ref="F153:H153"/>
    <mergeCell ref="I153:L153"/>
    <mergeCell ref="M153:N153"/>
    <mergeCell ref="R153:U153"/>
    <mergeCell ref="F154:H154"/>
    <mergeCell ref="I154:L154"/>
    <mergeCell ref="M154:N154"/>
    <mergeCell ref="R154:U154"/>
    <mergeCell ref="C151:E151"/>
    <mergeCell ref="F151:H151"/>
    <mergeCell ref="I151:L151"/>
    <mergeCell ref="M151:N151"/>
    <mergeCell ref="R151:U151"/>
    <mergeCell ref="F152:H152"/>
    <mergeCell ref="I152:L152"/>
    <mergeCell ref="M152:N152"/>
    <mergeCell ref="R152:U152"/>
    <mergeCell ref="B138:E138"/>
    <mergeCell ref="F138:L138"/>
    <mergeCell ref="M138:U138"/>
    <mergeCell ref="B148:U148"/>
    <mergeCell ref="B149:U149"/>
    <mergeCell ref="B150:H150"/>
    <mergeCell ref="I150:L150"/>
    <mergeCell ref="M150:N150"/>
    <mergeCell ref="R150:U150"/>
    <mergeCell ref="B136:E136"/>
    <mergeCell ref="F136:L136"/>
    <mergeCell ref="M136:U136"/>
    <mergeCell ref="B137:E137"/>
    <mergeCell ref="F137:L137"/>
    <mergeCell ref="M137:U137"/>
    <mergeCell ref="B131:E133"/>
    <mergeCell ref="F131:L131"/>
    <mergeCell ref="M131:U133"/>
    <mergeCell ref="F132:L132"/>
    <mergeCell ref="F133:L133"/>
    <mergeCell ref="B134:E135"/>
    <mergeCell ref="F134:L134"/>
    <mergeCell ref="M134:U135"/>
    <mergeCell ref="F135:L135"/>
    <mergeCell ref="B127:E130"/>
    <mergeCell ref="F127:L127"/>
    <mergeCell ref="M127:U130"/>
    <mergeCell ref="F128:L128"/>
    <mergeCell ref="F129:L129"/>
    <mergeCell ref="F130:L130"/>
    <mergeCell ref="C119:U119"/>
    <mergeCell ref="B121:J121"/>
    <mergeCell ref="C122:U122"/>
    <mergeCell ref="B124:I124"/>
    <mergeCell ref="B125:U125"/>
    <mergeCell ref="B126:E126"/>
    <mergeCell ref="F126:L126"/>
    <mergeCell ref="M126:U126"/>
    <mergeCell ref="C109:U109"/>
    <mergeCell ref="C112:U112"/>
    <mergeCell ref="C113:U113"/>
    <mergeCell ref="C114:U114"/>
    <mergeCell ref="C115:U115"/>
    <mergeCell ref="C116:U116"/>
    <mergeCell ref="C101:U101"/>
    <mergeCell ref="B103:J103"/>
    <mergeCell ref="C104:U104"/>
    <mergeCell ref="C105:U105"/>
    <mergeCell ref="C106:U106"/>
    <mergeCell ref="B108:J108"/>
    <mergeCell ref="B94:J94"/>
    <mergeCell ref="C95:U95"/>
    <mergeCell ref="C96:U96"/>
    <mergeCell ref="C97:U97"/>
    <mergeCell ref="B99:J99"/>
    <mergeCell ref="C100:U100"/>
    <mergeCell ref="C84:U84"/>
    <mergeCell ref="B88:J88"/>
    <mergeCell ref="C89:U89"/>
    <mergeCell ref="C90:U90"/>
    <mergeCell ref="C91:U91"/>
    <mergeCell ref="C92:U92"/>
    <mergeCell ref="C76:U76"/>
    <mergeCell ref="B78:J78"/>
    <mergeCell ref="C79:U79"/>
    <mergeCell ref="C80:U80"/>
    <mergeCell ref="C81:U81"/>
    <mergeCell ref="B83:J83"/>
    <mergeCell ref="B63:U63"/>
    <mergeCell ref="B65:J65"/>
    <mergeCell ref="C66:U66"/>
    <mergeCell ref="B68:U68"/>
    <mergeCell ref="F69:U69"/>
    <mergeCell ref="B74:J74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7:U7"/>
    <mergeCell ref="B8:U8"/>
    <mergeCell ref="B9:U9"/>
    <mergeCell ref="B10:U10"/>
    <mergeCell ref="B16:U16"/>
    <mergeCell ref="I23:U23"/>
    <mergeCell ref="I24:U24"/>
    <mergeCell ref="I25:U25"/>
    <mergeCell ref="B30:U30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in="1" max="20" man="1"/>
    <brk id="87" min="1" max="20" man="1"/>
    <brk id="110" min="1" max="20" man="1"/>
    <brk id="123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2021-06-17T04:05:17Z</cp:lastPrinted>
  <dcterms:created xsi:type="dcterms:W3CDTF">2000-03-06T09:29:35Z</dcterms:created>
  <dcterms:modified xsi:type="dcterms:W3CDTF">2025-04-08T07:41:35Z</dcterms:modified>
</cp:coreProperties>
</file>