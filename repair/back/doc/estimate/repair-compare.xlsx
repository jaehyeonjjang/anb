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F26F436D-8762-744F-9814-F5CF8C40B64A}" xr6:coauthVersionLast="47" xr6:coauthVersionMax="47" xr10:uidLastSave="{00000000-0000-0000-0000-000000000000}"/>
  <bookViews>
    <workbookView xWindow="1240" yWindow="500" windowWidth="39720" windowHeight="22540" activeTab="1" xr2:uid="{00000000-000D-0000-FFFF-FFFF00000000}"/>
  </bookViews>
  <sheets>
    <sheet name="표지" sheetId="3" r:id="rId1"/>
    <sheet name="내역서" sheetId="4" r:id="rId2"/>
  </sheets>
  <definedNames>
    <definedName name="_xlnm.Print_Area" localSheetId="1">내역서!$A$1:$G$26</definedName>
    <definedName name="_xlnm.Print_Area" localSheetId="0">표지!$A$1:$J$31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H13" i="3"/>
  <c r="H23" i="3" s="1"/>
  <c r="B10" i="3" s="1"/>
  <c r="B9" i="3" s="1"/>
  <c r="F8" i="4" l="1"/>
  <c r="F9" i="4" s="1"/>
  <c r="F11" i="4" s="1"/>
  <c r="F13" i="4" s="1"/>
  <c r="F26" i="4" s="1"/>
</calcChain>
</file>

<file path=xl/sharedStrings.xml><?xml version="1.0" encoding="utf-8"?>
<sst xmlns="http://schemas.openxmlformats.org/spreadsheetml/2006/main" count="56" uniqueCount="49">
  <si>
    <t>견     적     서</t>
    <phoneticPr fontId="1" type="noConversion"/>
  </si>
  <si>
    <t xml:space="preserve">  잠원대우아이빌아파트    귀하 </t>
    <phoneticPr fontId="1" type="noConversion"/>
  </si>
  <si>
    <t>작성자 :</t>
    <phoneticPr fontId="1" type="noConversion"/>
  </si>
  <si>
    <t>용  역  명 : 장기수선계획 용역</t>
    <phoneticPr fontId="1" type="noConversion"/>
  </si>
  <si>
    <t>수신인 :</t>
    <phoneticPr fontId="1" type="noConversion"/>
  </si>
  <si>
    <t xml:space="preserve">견적금액 :  </t>
    <phoneticPr fontId="1" type="noConversion"/>
  </si>
  <si>
    <t>전  화 :</t>
    <phoneticPr fontId="1" type="noConversion"/>
  </si>
  <si>
    <t>(</t>
    <phoneticPr fontId="1" type="noConversion"/>
  </si>
  <si>
    <t>)</t>
    <phoneticPr fontId="1" type="noConversion"/>
  </si>
  <si>
    <t>V.A.T 별도</t>
    <phoneticPr fontId="1" type="noConversion"/>
  </si>
  <si>
    <t>견  적  일 : 2025 년     02   월   18  일</t>
    <phoneticPr fontId="1" type="noConversion"/>
  </si>
  <si>
    <t>팩 스 :</t>
    <phoneticPr fontId="1" type="noConversion"/>
  </si>
  <si>
    <t>명     칭</t>
    <phoneticPr fontId="1" type="noConversion"/>
  </si>
  <si>
    <t>규 격</t>
    <phoneticPr fontId="1" type="noConversion"/>
  </si>
  <si>
    <t>단위</t>
    <phoneticPr fontId="1" type="noConversion"/>
  </si>
  <si>
    <t>수량</t>
    <phoneticPr fontId="1" type="noConversion"/>
  </si>
  <si>
    <t>단 가</t>
    <phoneticPr fontId="1" type="noConversion"/>
  </si>
  <si>
    <t>금   액</t>
    <phoneticPr fontId="1" type="noConversion"/>
  </si>
  <si>
    <t>비고</t>
    <phoneticPr fontId="1" type="noConversion"/>
  </si>
  <si>
    <t>이메일 :</t>
    <phoneticPr fontId="1" type="noConversion"/>
  </si>
  <si>
    <t>장기수선계획 용역</t>
    <phoneticPr fontId="1" type="noConversion"/>
  </si>
  <si>
    <t>식</t>
    <phoneticPr fontId="1" type="noConversion"/>
  </si>
  <si>
    <t>소           계</t>
    <phoneticPr fontId="1" type="noConversion"/>
  </si>
  <si>
    <t>[ 견적조건 및 특기사항 ]    3 개동   168  세대</t>
    <phoneticPr fontId="1" type="noConversion"/>
  </si>
  <si>
    <t>1) 부가세 별도</t>
    <phoneticPr fontId="1" type="noConversion"/>
  </si>
  <si>
    <t>2) 도면에 의한 물량 산출 및 적산</t>
    <phoneticPr fontId="1" type="noConversion"/>
  </si>
  <si>
    <t>3) 장기수선계획 보고서 1권 제출</t>
    <phoneticPr fontId="1" type="noConversion"/>
  </si>
  <si>
    <t xml:space="preserve"> 상기 내용과 같이 견적을 제출합니다.</t>
    <phoneticPr fontId="1" type="noConversion"/>
  </si>
  <si>
    <t>산  출  내  역  서</t>
    <phoneticPr fontId="1" type="noConversion"/>
  </si>
  <si>
    <t>명    칭</t>
    <phoneticPr fontId="1" type="noConversion"/>
  </si>
  <si>
    <t>인원</t>
    <phoneticPr fontId="1" type="noConversion"/>
  </si>
  <si>
    <t>일수</t>
    <phoneticPr fontId="1" type="noConversion"/>
  </si>
  <si>
    <t>단가</t>
    <phoneticPr fontId="1" type="noConversion"/>
  </si>
  <si>
    <t>▣ 장기수선 계획 조정</t>
    <phoneticPr fontId="1" type="noConversion"/>
  </si>
  <si>
    <t>특급기술자</t>
    <phoneticPr fontId="1" type="noConversion"/>
  </si>
  <si>
    <t>인</t>
    <phoneticPr fontId="1" type="noConversion"/>
  </si>
  <si>
    <t>고급기술자</t>
    <phoneticPr fontId="1" type="noConversion"/>
  </si>
  <si>
    <t>중급기술자</t>
    <phoneticPr fontId="1" type="noConversion"/>
  </si>
  <si>
    <t>초급기술자</t>
    <phoneticPr fontId="1" type="noConversion"/>
  </si>
  <si>
    <t>직 접 인 건 비</t>
    <phoneticPr fontId="1" type="noConversion"/>
  </si>
  <si>
    <t>제경비 및 기술료, 직접경비</t>
    <phoneticPr fontId="1" type="noConversion"/>
  </si>
  <si>
    <t>직접인건비*250%</t>
    <phoneticPr fontId="1" type="noConversion"/>
  </si>
  <si>
    <t>인쇄비</t>
    <phoneticPr fontId="1" type="noConversion"/>
  </si>
  <si>
    <t>합             계</t>
    <phoneticPr fontId="1" type="noConversion"/>
  </si>
  <si>
    <t>단수정리</t>
    <phoneticPr fontId="1" type="noConversion"/>
  </si>
  <si>
    <t>견  적   금  액</t>
    <phoneticPr fontId="1" type="noConversion"/>
  </si>
  <si>
    <t>부가세별도</t>
    <phoneticPr fontId="1" type="noConversion"/>
  </si>
  <si>
    <t xml:space="preserve"> </t>
    <phoneticPr fontId="1" type="noConversion"/>
  </si>
  <si>
    <t>합      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</si>
</sst>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"/>
    <numFmt numFmtId="165" formatCode="_-&quot;₩&quot;* #,##0_-;\-&quot;₩&quot;* #,##0_-;_-&quot;₩&quot;* &quot;-&quot;_-;_-@_-"/>
    <numFmt numFmtId="166" formatCode="_-* #,##0_-;\-* #,##0_-;_-* &quot;-&quot;_-;_-@_-"/>
    <numFmt numFmtId="167" formatCode="_-* #,##0.0_-;\-* #,##0.0_-;_-* &quot;-&quot;_-;_-@_-"/>
  </numFmts>
  <fonts count="19">
    <font>
      <sz val="10"/>
      <color indexed="8"/>
      <name val="바탕"/>
      <family val="1"/>
    </font>
    <font>
      <sz val="12"/>
      <color indexed="8"/>
      <name val="돋움"/>
      <family val="3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sz val="28"/>
      <name val="HY울릉도M"/>
      <family val="1"/>
      <charset val="129"/>
    </font>
    <font>
      <b/>
      <u/>
      <sz val="16"/>
      <name val="굴림"/>
      <family val="3"/>
      <charset val="129"/>
    </font>
    <font>
      <b/>
      <u/>
      <sz val="14"/>
      <name val="굴림"/>
      <family val="3"/>
      <charset val="129"/>
    </font>
    <font>
      <b/>
      <sz val="14"/>
      <name val="굴림"/>
      <family val="3"/>
      <charset val="129"/>
    </font>
    <font>
      <b/>
      <sz val="28"/>
      <name val="굴림"/>
      <family val="3"/>
      <charset val="129"/>
    </font>
    <font>
      <sz val="13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b/>
      <sz val="14"/>
      <name val="돋움"/>
      <family val="3"/>
      <charset val="129"/>
    </font>
    <font>
      <sz val="28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새굴림"/>
      <family val="1"/>
      <charset val="129"/>
    </font>
    <font>
      <sz val="10"/>
      <color indexed="8"/>
      <name val="새굴림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 applyFill="0" applyProtection="0">
      <alignment vertical="center"/>
    </xf>
    <xf numFmtId="0" fontId="2" fillId="0" borderId="0">
      <alignment vertical="center"/>
    </xf>
    <xf numFmtId="166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</cellStyleXfs>
  <cellXfs count="122">
    <xf numFmtId="0" fontId="0" fillId="0" borderId="0" xfId="0" applyFill="1" applyProtection="1">
      <alignment vertical="center"/>
    </xf>
    <xf numFmtId="0" fontId="3" fillId="0" borderId="0" xfId="1" applyFont="1">
      <alignment vertical="center"/>
    </xf>
    <xf numFmtId="164" fontId="3" fillId="0" borderId="0" xfId="1" applyNumberFormat="1" applyFont="1">
      <alignment vertical="center"/>
    </xf>
    <xf numFmtId="0" fontId="3" fillId="0" borderId="0" xfId="1" applyFont="1" applyAlignment="1">
      <alignment horizontal="right" vertical="center"/>
    </xf>
    <xf numFmtId="0" fontId="3" fillId="0" borderId="2" xfId="1" applyFont="1" applyBorder="1">
      <alignment vertical="center"/>
    </xf>
    <xf numFmtId="0" fontId="3" fillId="0" borderId="4" xfId="1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0" borderId="4" xfId="1" applyFont="1" applyBorder="1">
      <alignment vertical="center"/>
    </xf>
    <xf numFmtId="0" fontId="9" fillId="0" borderId="0" xfId="1" applyFont="1">
      <alignment vertical="center"/>
    </xf>
    <xf numFmtId="0" fontId="9" fillId="0" borderId="0" xfId="1" applyFont="1" applyAlignment="1">
      <alignment horizontal="right" vertical="center"/>
    </xf>
    <xf numFmtId="165" fontId="9" fillId="0" borderId="0" xfId="1" applyNumberFormat="1" applyFont="1">
      <alignment vertical="center"/>
    </xf>
    <xf numFmtId="0" fontId="2" fillId="0" borderId="0" xfId="1">
      <alignment vertical="center"/>
    </xf>
    <xf numFmtId="0" fontId="2" fillId="0" borderId="5" xfId="1" applyBorder="1">
      <alignment vertical="center"/>
    </xf>
    <xf numFmtId="0" fontId="9" fillId="0" borderId="4" xfId="1" applyFont="1" applyBorder="1" applyAlignment="1">
      <alignment horizontal="right" vertical="center"/>
    </xf>
    <xf numFmtId="0" fontId="3" fillId="0" borderId="11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64" fontId="3" fillId="0" borderId="11" xfId="1" applyNumberFormat="1" applyFont="1" applyBorder="1">
      <alignment vertical="center"/>
    </xf>
    <xf numFmtId="166" fontId="3" fillId="0" borderId="11" xfId="2" applyFont="1" applyBorder="1">
      <alignment vertical="center"/>
    </xf>
    <xf numFmtId="0" fontId="3" fillId="0" borderId="13" xfId="1" applyFont="1" applyBorder="1">
      <alignment vertical="center"/>
    </xf>
    <xf numFmtId="0" fontId="3" fillId="0" borderId="11" xfId="1" applyFont="1" applyBorder="1" applyAlignment="1">
      <alignment horizontal="left" vertical="center"/>
    </xf>
    <xf numFmtId="164" fontId="3" fillId="0" borderId="11" xfId="1" applyNumberFormat="1" applyFont="1" applyBorder="1" applyAlignment="1">
      <alignment horizontal="right" vertical="center"/>
    </xf>
    <xf numFmtId="3" fontId="3" fillId="0" borderId="11" xfId="1" applyNumberFormat="1" applyFont="1" applyBorder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3" fontId="10" fillId="2" borderId="11" xfId="1" applyNumberFormat="1" applyFont="1" applyFill="1" applyBorder="1">
      <alignment vertical="center"/>
    </xf>
    <xf numFmtId="166" fontId="10" fillId="2" borderId="11" xfId="2" applyFont="1" applyFill="1" applyBorder="1">
      <alignment vertical="center"/>
    </xf>
    <xf numFmtId="0" fontId="10" fillId="2" borderId="13" xfId="1" applyFont="1" applyFill="1" applyBorder="1">
      <alignment vertical="center"/>
    </xf>
    <xf numFmtId="0" fontId="10" fillId="0" borderId="9" xfId="1" applyFont="1" applyBorder="1" applyAlignment="1">
      <alignment horizontal="center" vertical="center"/>
    </xf>
    <xf numFmtId="0" fontId="3" fillId="0" borderId="11" xfId="1" applyFont="1" applyBorder="1">
      <alignment vertical="center"/>
    </xf>
    <xf numFmtId="165" fontId="10" fillId="0" borderId="11" xfId="3" applyFont="1" applyBorder="1">
      <alignment vertical="center"/>
    </xf>
    <xf numFmtId="0" fontId="11" fillId="0" borderId="0" xfId="1" applyFont="1" applyAlignment="1">
      <alignment horizontal="left" vertical="center" indent="1"/>
    </xf>
    <xf numFmtId="0" fontId="3" fillId="0" borderId="20" xfId="1" applyFont="1" applyBorder="1">
      <alignment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5" xfId="1" applyFont="1" applyBorder="1" applyAlignment="1">
      <alignment horizontal="right" vertical="center"/>
    </xf>
    <xf numFmtId="0" fontId="11" fillId="0" borderId="9" xfId="1" applyFont="1" applyBorder="1" applyAlignment="1">
      <alignment horizontal="center" vertical="center"/>
    </xf>
    <xf numFmtId="0" fontId="3" fillId="0" borderId="25" xfId="1" applyFont="1" applyBorder="1" applyAlignment="1">
      <alignment horizontal="right" vertical="center"/>
    </xf>
    <xf numFmtId="166" fontId="11" fillId="0" borderId="25" xfId="4" applyFont="1" applyBorder="1" applyAlignment="1">
      <alignment horizontal="right" vertical="center" shrinkToFit="1"/>
    </xf>
    <xf numFmtId="166" fontId="3" fillId="0" borderId="25" xfId="1" applyNumberFormat="1" applyFont="1" applyBorder="1" applyAlignment="1">
      <alignment horizontal="right" vertical="center"/>
    </xf>
    <xf numFmtId="0" fontId="3" fillId="0" borderId="26" xfId="1" applyFont="1" applyBorder="1" applyAlignment="1">
      <alignment horizontal="center" vertical="center"/>
    </xf>
    <xf numFmtId="166" fontId="14" fillId="0" borderId="9" xfId="4" applyFont="1" applyBorder="1" applyAlignment="1">
      <alignment horizontal="center" vertical="center"/>
    </xf>
    <xf numFmtId="166" fontId="14" fillId="0" borderId="25" xfId="4" applyFont="1" applyBorder="1" applyAlignment="1">
      <alignment horizontal="right" vertical="center" shrinkToFit="1"/>
    </xf>
    <xf numFmtId="0" fontId="3" fillId="0" borderId="26" xfId="1" applyFont="1" applyBorder="1">
      <alignment vertical="center"/>
    </xf>
    <xf numFmtId="166" fontId="15" fillId="0" borderId="9" xfId="4" applyFont="1" applyBorder="1" applyAlignment="1">
      <alignment horizontal="center" vertical="center"/>
    </xf>
    <xf numFmtId="166" fontId="15" fillId="0" borderId="25" xfId="4" applyFont="1" applyBorder="1" applyAlignment="1">
      <alignment horizontal="center" vertical="center" shrinkToFit="1"/>
    </xf>
    <xf numFmtId="166" fontId="16" fillId="0" borderId="25" xfId="4" applyFont="1" applyBorder="1" applyAlignment="1">
      <alignment vertical="center" shrinkToFit="1"/>
    </xf>
    <xf numFmtId="166" fontId="10" fillId="0" borderId="25" xfId="1" applyNumberFormat="1" applyFont="1" applyBorder="1" applyAlignment="1">
      <alignment horizontal="right" vertical="center"/>
    </xf>
    <xf numFmtId="0" fontId="10" fillId="0" borderId="26" xfId="1" applyFont="1" applyBorder="1">
      <alignment vertical="center"/>
    </xf>
    <xf numFmtId="166" fontId="14" fillId="0" borderId="25" xfId="4" applyFont="1" applyBorder="1" applyAlignment="1">
      <alignment horizontal="center" vertical="center" shrinkToFit="1"/>
    </xf>
    <xf numFmtId="0" fontId="3" fillId="0" borderId="25" xfId="1" applyFont="1" applyBorder="1" applyAlignment="1">
      <alignment horizontal="center" vertical="center"/>
    </xf>
    <xf numFmtId="166" fontId="11" fillId="0" borderId="25" xfId="4" applyFont="1" applyBorder="1" applyAlignment="1">
      <alignment vertical="center" shrinkToFit="1"/>
    </xf>
    <xf numFmtId="166" fontId="15" fillId="0" borderId="25" xfId="4" applyFont="1" applyFill="1" applyBorder="1" applyAlignment="1">
      <alignment horizontal="center" vertical="center" shrinkToFit="1"/>
    </xf>
    <xf numFmtId="167" fontId="17" fillId="0" borderId="25" xfId="4" applyNumberFormat="1" applyFont="1" applyBorder="1" applyAlignment="1">
      <alignment vertical="center" shrinkToFit="1"/>
    </xf>
    <xf numFmtId="166" fontId="16" fillId="0" borderId="25" xfId="4" applyFont="1" applyBorder="1" applyAlignment="1">
      <alignment horizontal="right" vertical="center" shrinkToFit="1"/>
    </xf>
    <xf numFmtId="166" fontId="14" fillId="0" borderId="25" xfId="4" applyFont="1" applyFill="1" applyBorder="1" applyAlignment="1">
      <alignment horizontal="center" vertical="center" shrinkToFit="1"/>
    </xf>
    <xf numFmtId="167" fontId="18" fillId="0" borderId="25" xfId="4" applyNumberFormat="1" applyFont="1" applyBorder="1" applyAlignment="1">
      <alignment vertical="center" shrinkToFit="1"/>
    </xf>
    <xf numFmtId="166" fontId="15" fillId="3" borderId="9" xfId="4" applyFont="1" applyFill="1" applyBorder="1" applyAlignment="1">
      <alignment horizontal="center" vertical="center"/>
    </xf>
    <xf numFmtId="166" fontId="15" fillId="3" borderId="25" xfId="4" applyFont="1" applyFill="1" applyBorder="1" applyAlignment="1">
      <alignment horizontal="center" vertical="center" shrinkToFit="1"/>
    </xf>
    <xf numFmtId="167" fontId="17" fillId="3" borderId="25" xfId="4" applyNumberFormat="1" applyFont="1" applyFill="1" applyBorder="1" applyAlignment="1">
      <alignment vertical="center" shrinkToFit="1"/>
    </xf>
    <xf numFmtId="166" fontId="16" fillId="3" borderId="25" xfId="4" applyFont="1" applyFill="1" applyBorder="1" applyAlignment="1">
      <alignment vertical="center" shrinkToFit="1"/>
    </xf>
    <xf numFmtId="166" fontId="10" fillId="3" borderId="25" xfId="4" applyFont="1" applyFill="1" applyBorder="1" applyAlignment="1">
      <alignment horizontal="right" vertical="center" shrinkToFit="1"/>
    </xf>
    <xf numFmtId="0" fontId="10" fillId="3" borderId="26" xfId="1" applyFont="1" applyFill="1" applyBorder="1">
      <alignment vertical="center"/>
    </xf>
    <xf numFmtId="166" fontId="14" fillId="0" borderId="9" xfId="4" applyFont="1" applyBorder="1" applyAlignment="1">
      <alignment vertical="center"/>
    </xf>
    <xf numFmtId="0" fontId="3" fillId="0" borderId="24" xfId="1" applyFont="1" applyBorder="1">
      <alignment vertical="center"/>
    </xf>
    <xf numFmtId="0" fontId="3" fillId="0" borderId="25" xfId="1" applyFont="1" applyBorder="1">
      <alignment vertical="center"/>
    </xf>
    <xf numFmtId="3" fontId="3" fillId="0" borderId="25" xfId="1" applyNumberFormat="1" applyFont="1" applyBorder="1">
      <alignment vertical="center"/>
    </xf>
    <xf numFmtId="3" fontId="3" fillId="0" borderId="25" xfId="1" applyNumberFormat="1" applyFont="1" applyBorder="1" applyAlignment="1">
      <alignment horizontal="right" vertical="center"/>
    </xf>
    <xf numFmtId="0" fontId="10" fillId="3" borderId="30" xfId="1" applyFont="1" applyFill="1" applyBorder="1" applyAlignment="1">
      <alignment horizontal="center" vertical="center"/>
    </xf>
    <xf numFmtId="0" fontId="10" fillId="3" borderId="31" xfId="1" applyFont="1" applyFill="1" applyBorder="1">
      <alignment vertical="center"/>
    </xf>
    <xf numFmtId="166" fontId="10" fillId="3" borderId="31" xfId="1" applyNumberFormat="1" applyFont="1" applyFill="1" applyBorder="1" applyAlignment="1">
      <alignment horizontal="right" vertical="center"/>
    </xf>
    <xf numFmtId="0" fontId="10" fillId="3" borderId="32" xfId="1" applyFont="1" applyFill="1" applyBorder="1">
      <alignment vertical="center"/>
    </xf>
    <xf numFmtId="0" fontId="3" fillId="0" borderId="9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165" fontId="9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left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left" vertical="center" indent="1"/>
    </xf>
    <xf numFmtId="0" fontId="11" fillId="0" borderId="7" xfId="1" applyFont="1" applyBorder="1" applyAlignment="1">
      <alignment horizontal="left" vertical="center" indent="1"/>
    </xf>
    <xf numFmtId="0" fontId="11" fillId="0" borderId="8" xfId="1" applyFont="1" applyBorder="1" applyAlignment="1">
      <alignment horizontal="left" vertical="center" indent="1"/>
    </xf>
    <xf numFmtId="0" fontId="11" fillId="0" borderId="17" xfId="1" applyFont="1" applyBorder="1" applyAlignment="1">
      <alignment horizontal="left" vertical="center" indent="1"/>
    </xf>
    <xf numFmtId="0" fontId="11" fillId="0" borderId="18" xfId="1" applyFont="1" applyBorder="1" applyAlignment="1">
      <alignment horizontal="left" vertical="center" indent="1"/>
    </xf>
    <xf numFmtId="0" fontId="11" fillId="0" borderId="19" xfId="1" applyFont="1" applyBorder="1" applyAlignment="1">
      <alignment horizontal="left" vertical="center" indent="1"/>
    </xf>
    <xf numFmtId="0" fontId="7" fillId="0" borderId="0" xfId="1" applyFont="1">
      <alignment vertical="center"/>
    </xf>
    <xf numFmtId="0" fontId="12" fillId="0" borderId="0" xfId="1" applyFont="1">
      <alignment vertical="center"/>
    </xf>
    <xf numFmtId="0" fontId="10" fillId="0" borderId="10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13" fillId="0" borderId="21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166" fontId="14" fillId="0" borderId="27" xfId="4" applyFont="1" applyBorder="1" applyAlignment="1">
      <alignment horizontal="center" vertical="center" shrinkToFit="1"/>
    </xf>
    <xf numFmtId="166" fontId="14" fillId="0" borderId="28" xfId="4" applyFont="1" applyBorder="1" applyAlignment="1">
      <alignment horizontal="center" vertical="center" shrinkToFit="1"/>
    </xf>
    <xf numFmtId="166" fontId="14" fillId="0" borderId="29" xfId="4" applyFont="1" applyBorder="1" applyAlignment="1">
      <alignment horizontal="center" vertical="center" shrinkToFit="1"/>
    </xf>
    <xf numFmtId="9" fontId="15" fillId="0" borderId="27" xfId="4" applyNumberFormat="1" applyFont="1" applyFill="1" applyBorder="1" applyAlignment="1">
      <alignment horizontal="center" vertical="center" shrinkToFit="1"/>
    </xf>
    <xf numFmtId="166" fontId="15" fillId="0" borderId="28" xfId="4" applyFont="1" applyFill="1" applyBorder="1" applyAlignment="1">
      <alignment horizontal="center" vertical="center" shrinkToFit="1"/>
    </xf>
    <xf numFmtId="166" fontId="15" fillId="0" borderId="29" xfId="4" applyFont="1" applyFill="1" applyBorder="1" applyAlignment="1">
      <alignment horizontal="center" vertical="center" shrinkToFit="1"/>
    </xf>
  </cellXfs>
  <cellStyles count="5">
    <cellStyle name="Comma [0] 2" xfId="2" xr:uid="{A1D9D414-7766-FA49-8840-CDB225E0EE8A}"/>
    <cellStyle name="Currency [0] 2" xfId="3" xr:uid="{298A0C70-CDAD-D041-8F4D-1BA916968B8A}"/>
    <cellStyle name="Normal" xfId="0" builtinId="0"/>
    <cellStyle name="Normal 2" xfId="1" xr:uid="{EB362271-FE83-7740-AC77-607C4DEF189B}"/>
    <cellStyle name="쉼표 [0] 5" xfId="4" xr:uid="{59EB7850-444B-DD43-A516-4C4EC41C2BD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4</xdr:row>
      <xdr:rowOff>523874</xdr:rowOff>
    </xdr:from>
    <xdr:to>
      <xdr:col>8</xdr:col>
      <xdr:colOff>758824</xdr:colOff>
      <xdr:row>7</xdr:row>
      <xdr:rowOff>314325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5456B2C-50E5-294C-AF17-2647D93B1CFE}"/>
            </a:ext>
          </a:extLst>
        </xdr:cNvPr>
        <xdr:cNvSpPr>
          <a:spLocks noChangeArrowheads="1"/>
        </xdr:cNvSpPr>
      </xdr:nvSpPr>
      <xdr:spPr bwMode="auto">
        <a:xfrm>
          <a:off x="3467100" y="1730374"/>
          <a:ext cx="2854324" cy="14541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27432" rIns="0" bIns="0" anchor="ctr" upright="1"/>
        <a:lstStyle/>
        <a:p>
          <a:pPr algn="l" rtl="1">
            <a:lnSpc>
              <a:spcPts val="1700"/>
            </a:lnSpc>
            <a:defRPr sz="1000"/>
          </a:pPr>
          <a:r>
            <a:rPr lang="ko-KR" altLang="en-US" sz="1700" b="0" i="0" strike="noStrike">
              <a:solidFill>
                <a:srgbClr val="000000"/>
              </a:solidFill>
              <a:latin typeface="HY동녘M"/>
              <a:ea typeface="HY동녘M"/>
            </a:rPr>
            <a:t>  </a:t>
          </a:r>
          <a:r>
            <a:rPr lang="ko-KR" altLang="en-US" sz="2000" b="0" i="0" strike="noStrike">
              <a:solidFill>
                <a:srgbClr val="000000"/>
              </a:solidFill>
              <a:latin typeface="HY동녘M"/>
              <a:ea typeface="HY동녘M"/>
            </a:rPr>
            <a:t>대  성  건 축</a:t>
          </a:r>
          <a:endParaRPr lang="en-US" altLang="ko-KR" sz="2000" b="0" i="0" strike="noStrike">
            <a:solidFill>
              <a:srgbClr val="000000"/>
            </a:solidFill>
            <a:latin typeface="HY동녘M"/>
            <a:ea typeface="HY동녘M"/>
          </a:endParaRPr>
        </a:p>
        <a:p>
          <a:pPr algn="l" rtl="1">
            <a:lnSpc>
              <a:spcPts val="1700"/>
            </a:lnSpc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서울특별시 은평구 은평터널로 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134</a:t>
          </a:r>
        </a:p>
        <a:p>
          <a:pPr algn="l" rtl="1">
            <a:lnSpc>
              <a:spcPts val="1700"/>
            </a:lnSpc>
            <a:defRPr sz="1000"/>
          </a:pPr>
          <a:r>
            <a:rPr lang="ko-KR" altLang="en-US" sz="1400" b="0" i="0" strike="noStrike">
              <a:solidFill>
                <a:srgbClr val="000000"/>
              </a:solidFill>
              <a:latin typeface="바탕체"/>
              <a:ea typeface="바탕체"/>
            </a:rPr>
            <a:t>대  표 </a:t>
          </a:r>
          <a:r>
            <a:rPr lang="en-US" altLang="ko-KR" sz="1400" b="0" i="0" strike="noStrike">
              <a:solidFill>
                <a:srgbClr val="000000"/>
              </a:solidFill>
              <a:latin typeface="바탕체"/>
              <a:ea typeface="바탕체"/>
            </a:rPr>
            <a:t>:</a:t>
          </a:r>
          <a:r>
            <a:rPr lang="ko-KR" altLang="en-US" sz="1400" b="0" i="0" strike="noStrike">
              <a:solidFill>
                <a:srgbClr val="000000"/>
              </a:solidFill>
              <a:latin typeface="바탕체"/>
              <a:ea typeface="바탕체"/>
            </a:rPr>
            <a:t> 소  성  열</a:t>
          </a:r>
          <a:endParaRPr lang="en-US" altLang="ko-KR" sz="1400" b="0" i="0" strike="noStrike">
            <a:solidFill>
              <a:srgbClr val="000000"/>
            </a:solidFill>
            <a:latin typeface="바탕체"/>
            <a:ea typeface="바탕체"/>
          </a:endParaRPr>
        </a:p>
        <a:p>
          <a:pPr algn="l" rtl="1">
            <a:lnSpc>
              <a:spcPts val="1700"/>
            </a:lnSpc>
            <a:defRPr sz="1000"/>
          </a:pPr>
          <a:r>
            <a:rPr lang="ko-KR" altLang="en-US" sz="1050" b="0" i="0" strike="noStrike">
              <a:solidFill>
                <a:srgbClr val="000000"/>
              </a:solidFill>
              <a:latin typeface="바탕체"/>
              <a:ea typeface="바탕체"/>
            </a:rPr>
            <a:t>전화</a:t>
          </a:r>
          <a:r>
            <a:rPr lang="en-US" altLang="ko-KR" sz="1050" b="0" i="0" strike="noStrike">
              <a:solidFill>
                <a:srgbClr val="000000"/>
              </a:solidFill>
              <a:latin typeface="바탕체"/>
              <a:ea typeface="바탕체"/>
            </a:rPr>
            <a:t>: 010-4395-9526 / </a:t>
          </a:r>
          <a:r>
            <a:rPr lang="ko-KR" altLang="en-US" sz="1050" b="0" i="0" strike="noStrike">
              <a:solidFill>
                <a:srgbClr val="000000"/>
              </a:solidFill>
              <a:latin typeface="바탕체"/>
              <a:ea typeface="바탕체"/>
            </a:rPr>
            <a:t>팩스</a:t>
          </a:r>
          <a:r>
            <a:rPr lang="en-US" altLang="ko-KR" sz="1050" b="0" i="0" strike="noStrike">
              <a:solidFill>
                <a:srgbClr val="000000"/>
              </a:solidFill>
              <a:latin typeface="바탕체"/>
              <a:ea typeface="바탕체"/>
            </a:rPr>
            <a:t>: 070-4042-9526</a:t>
          </a:r>
          <a:endParaRPr lang="en-US" altLang="ko-KR" sz="1200" b="0" i="0" strike="noStrike">
            <a:solidFill>
              <a:srgbClr val="000000"/>
            </a:solidFill>
            <a:latin typeface="바탕체"/>
            <a:ea typeface="바탕체"/>
          </a:endParaRPr>
        </a:p>
        <a:p>
          <a:pPr algn="l" rtl="1">
            <a:lnSpc>
              <a:spcPts val="1200"/>
            </a:lnSpc>
            <a:defRPr sz="1000"/>
          </a:pPr>
          <a:endParaRPr lang="en-US" altLang="ko-KR" sz="1200" b="0" i="0" strike="noStrike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 editAs="oneCell">
    <xdr:from>
      <xdr:col>7</xdr:col>
      <xdr:colOff>1044576</xdr:colOff>
      <xdr:row>5</xdr:row>
      <xdr:rowOff>276225</xdr:rowOff>
    </xdr:from>
    <xdr:to>
      <xdr:col>8</xdr:col>
      <xdr:colOff>284269</xdr:colOff>
      <xdr:row>7</xdr:row>
      <xdr:rowOff>47302</xdr:rowOff>
    </xdr:to>
    <xdr:pic>
      <xdr:nvPicPr>
        <xdr:cNvPr id="5" name="그림 5">
          <a:extLst>
            <a:ext uri="{FF2B5EF4-FFF2-40B4-BE49-F238E27FC236}">
              <a16:creationId xmlns:a16="http://schemas.microsoft.com/office/drawing/2014/main" id="{027156E5-20F0-8F48-8250-C4C1634C3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476" y="2130425"/>
          <a:ext cx="649393" cy="787077"/>
        </a:xfrm>
        <a:prstGeom prst="rect">
          <a:avLst/>
        </a:prstGeom>
        <a:noFill/>
        <a:ln>
          <a:noFill/>
        </a:ln>
        <a:effectLst>
          <a:softEdge rad="1270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48EF-702E-724A-AEA0-DD3B12413FC1}">
  <sheetPr>
    <tabColor rgb="FF00B0F0"/>
  </sheetPr>
  <dimension ref="A1:K31"/>
  <sheetViews>
    <sheetView view="pageBreakPreview" zoomScaleNormal="100" zoomScaleSheetLayoutView="100" workbookViewId="0">
      <selection activeCell="G18" sqref="G18"/>
    </sheetView>
  </sheetViews>
  <sheetFormatPr baseColWidth="10" defaultColWidth="8" defaultRowHeight="14"/>
  <cols>
    <col min="1" max="1" width="10" style="1" customWidth="1"/>
    <col min="2" max="2" width="13.5" style="1" customWidth="1"/>
    <col min="3" max="3" width="6.6640625" style="1" customWidth="1"/>
    <col min="4" max="4" width="6.1640625" style="1" customWidth="1"/>
    <col min="5" max="5" width="1.5" style="1" customWidth="1"/>
    <col min="6" max="6" width="4.5" style="2" customWidth="1"/>
    <col min="7" max="7" width="12.1640625" style="1" customWidth="1"/>
    <col min="8" max="8" width="18.5" style="1" customWidth="1"/>
    <col min="9" max="9" width="10.83203125" style="1" customWidth="1"/>
    <col min="10" max="10" width="8" style="1" hidden="1" customWidth="1"/>
    <col min="11" max="12" width="8" style="1" customWidth="1"/>
    <col min="13" max="256" width="8" style="1"/>
    <col min="257" max="257" width="10" style="1" customWidth="1"/>
    <col min="258" max="258" width="13.5" style="1" customWidth="1"/>
    <col min="259" max="259" width="6.6640625" style="1" customWidth="1"/>
    <col min="260" max="260" width="6.1640625" style="1" customWidth="1"/>
    <col min="261" max="261" width="1.5" style="1" customWidth="1"/>
    <col min="262" max="262" width="4.5" style="1" customWidth="1"/>
    <col min="263" max="263" width="12.1640625" style="1" customWidth="1"/>
    <col min="264" max="264" width="18.5" style="1" customWidth="1"/>
    <col min="265" max="265" width="10.83203125" style="1" customWidth="1"/>
    <col min="266" max="266" width="0" style="1" hidden="1" customWidth="1"/>
    <col min="267" max="512" width="8" style="1"/>
    <col min="513" max="513" width="10" style="1" customWidth="1"/>
    <col min="514" max="514" width="13.5" style="1" customWidth="1"/>
    <col min="515" max="515" width="6.6640625" style="1" customWidth="1"/>
    <col min="516" max="516" width="6.1640625" style="1" customWidth="1"/>
    <col min="517" max="517" width="1.5" style="1" customWidth="1"/>
    <col min="518" max="518" width="4.5" style="1" customWidth="1"/>
    <col min="519" max="519" width="12.1640625" style="1" customWidth="1"/>
    <col min="520" max="520" width="18.5" style="1" customWidth="1"/>
    <col min="521" max="521" width="10.83203125" style="1" customWidth="1"/>
    <col min="522" max="522" width="0" style="1" hidden="1" customWidth="1"/>
    <col min="523" max="768" width="8" style="1"/>
    <col min="769" max="769" width="10" style="1" customWidth="1"/>
    <col min="770" max="770" width="13.5" style="1" customWidth="1"/>
    <col min="771" max="771" width="6.6640625" style="1" customWidth="1"/>
    <col min="772" max="772" width="6.1640625" style="1" customWidth="1"/>
    <col min="773" max="773" width="1.5" style="1" customWidth="1"/>
    <col min="774" max="774" width="4.5" style="1" customWidth="1"/>
    <col min="775" max="775" width="12.1640625" style="1" customWidth="1"/>
    <col min="776" max="776" width="18.5" style="1" customWidth="1"/>
    <col min="777" max="777" width="10.83203125" style="1" customWidth="1"/>
    <col min="778" max="778" width="0" style="1" hidden="1" customWidth="1"/>
    <col min="779" max="1024" width="8" style="1"/>
    <col min="1025" max="1025" width="10" style="1" customWidth="1"/>
    <col min="1026" max="1026" width="13.5" style="1" customWidth="1"/>
    <col min="1027" max="1027" width="6.6640625" style="1" customWidth="1"/>
    <col min="1028" max="1028" width="6.1640625" style="1" customWidth="1"/>
    <col min="1029" max="1029" width="1.5" style="1" customWidth="1"/>
    <col min="1030" max="1030" width="4.5" style="1" customWidth="1"/>
    <col min="1031" max="1031" width="12.1640625" style="1" customWidth="1"/>
    <col min="1032" max="1032" width="18.5" style="1" customWidth="1"/>
    <col min="1033" max="1033" width="10.83203125" style="1" customWidth="1"/>
    <col min="1034" max="1034" width="0" style="1" hidden="1" customWidth="1"/>
    <col min="1035" max="1280" width="8" style="1"/>
    <col min="1281" max="1281" width="10" style="1" customWidth="1"/>
    <col min="1282" max="1282" width="13.5" style="1" customWidth="1"/>
    <col min="1283" max="1283" width="6.6640625" style="1" customWidth="1"/>
    <col min="1284" max="1284" width="6.1640625" style="1" customWidth="1"/>
    <col min="1285" max="1285" width="1.5" style="1" customWidth="1"/>
    <col min="1286" max="1286" width="4.5" style="1" customWidth="1"/>
    <col min="1287" max="1287" width="12.1640625" style="1" customWidth="1"/>
    <col min="1288" max="1288" width="18.5" style="1" customWidth="1"/>
    <col min="1289" max="1289" width="10.83203125" style="1" customWidth="1"/>
    <col min="1290" max="1290" width="0" style="1" hidden="1" customWidth="1"/>
    <col min="1291" max="1536" width="8" style="1"/>
    <col min="1537" max="1537" width="10" style="1" customWidth="1"/>
    <col min="1538" max="1538" width="13.5" style="1" customWidth="1"/>
    <col min="1539" max="1539" width="6.6640625" style="1" customWidth="1"/>
    <col min="1540" max="1540" width="6.1640625" style="1" customWidth="1"/>
    <col min="1541" max="1541" width="1.5" style="1" customWidth="1"/>
    <col min="1542" max="1542" width="4.5" style="1" customWidth="1"/>
    <col min="1543" max="1543" width="12.1640625" style="1" customWidth="1"/>
    <col min="1544" max="1544" width="18.5" style="1" customWidth="1"/>
    <col min="1545" max="1545" width="10.83203125" style="1" customWidth="1"/>
    <col min="1546" max="1546" width="0" style="1" hidden="1" customWidth="1"/>
    <col min="1547" max="1792" width="8" style="1"/>
    <col min="1793" max="1793" width="10" style="1" customWidth="1"/>
    <col min="1794" max="1794" width="13.5" style="1" customWidth="1"/>
    <col min="1795" max="1795" width="6.6640625" style="1" customWidth="1"/>
    <col min="1796" max="1796" width="6.1640625" style="1" customWidth="1"/>
    <col min="1797" max="1797" width="1.5" style="1" customWidth="1"/>
    <col min="1798" max="1798" width="4.5" style="1" customWidth="1"/>
    <col min="1799" max="1799" width="12.1640625" style="1" customWidth="1"/>
    <col min="1800" max="1800" width="18.5" style="1" customWidth="1"/>
    <col min="1801" max="1801" width="10.83203125" style="1" customWidth="1"/>
    <col min="1802" max="1802" width="0" style="1" hidden="1" customWidth="1"/>
    <col min="1803" max="2048" width="8" style="1"/>
    <col min="2049" max="2049" width="10" style="1" customWidth="1"/>
    <col min="2050" max="2050" width="13.5" style="1" customWidth="1"/>
    <col min="2051" max="2051" width="6.6640625" style="1" customWidth="1"/>
    <col min="2052" max="2052" width="6.1640625" style="1" customWidth="1"/>
    <col min="2053" max="2053" width="1.5" style="1" customWidth="1"/>
    <col min="2054" max="2054" width="4.5" style="1" customWidth="1"/>
    <col min="2055" max="2055" width="12.1640625" style="1" customWidth="1"/>
    <col min="2056" max="2056" width="18.5" style="1" customWidth="1"/>
    <col min="2057" max="2057" width="10.83203125" style="1" customWidth="1"/>
    <col min="2058" max="2058" width="0" style="1" hidden="1" customWidth="1"/>
    <col min="2059" max="2304" width="8" style="1"/>
    <col min="2305" max="2305" width="10" style="1" customWidth="1"/>
    <col min="2306" max="2306" width="13.5" style="1" customWidth="1"/>
    <col min="2307" max="2307" width="6.6640625" style="1" customWidth="1"/>
    <col min="2308" max="2308" width="6.1640625" style="1" customWidth="1"/>
    <col min="2309" max="2309" width="1.5" style="1" customWidth="1"/>
    <col min="2310" max="2310" width="4.5" style="1" customWidth="1"/>
    <col min="2311" max="2311" width="12.1640625" style="1" customWidth="1"/>
    <col min="2312" max="2312" width="18.5" style="1" customWidth="1"/>
    <col min="2313" max="2313" width="10.83203125" style="1" customWidth="1"/>
    <col min="2314" max="2314" width="0" style="1" hidden="1" customWidth="1"/>
    <col min="2315" max="2560" width="8" style="1"/>
    <col min="2561" max="2561" width="10" style="1" customWidth="1"/>
    <col min="2562" max="2562" width="13.5" style="1" customWidth="1"/>
    <col min="2563" max="2563" width="6.6640625" style="1" customWidth="1"/>
    <col min="2564" max="2564" width="6.1640625" style="1" customWidth="1"/>
    <col min="2565" max="2565" width="1.5" style="1" customWidth="1"/>
    <col min="2566" max="2566" width="4.5" style="1" customWidth="1"/>
    <col min="2567" max="2567" width="12.1640625" style="1" customWidth="1"/>
    <col min="2568" max="2568" width="18.5" style="1" customWidth="1"/>
    <col min="2569" max="2569" width="10.83203125" style="1" customWidth="1"/>
    <col min="2570" max="2570" width="0" style="1" hidden="1" customWidth="1"/>
    <col min="2571" max="2816" width="8" style="1"/>
    <col min="2817" max="2817" width="10" style="1" customWidth="1"/>
    <col min="2818" max="2818" width="13.5" style="1" customWidth="1"/>
    <col min="2819" max="2819" width="6.6640625" style="1" customWidth="1"/>
    <col min="2820" max="2820" width="6.1640625" style="1" customWidth="1"/>
    <col min="2821" max="2821" width="1.5" style="1" customWidth="1"/>
    <col min="2822" max="2822" width="4.5" style="1" customWidth="1"/>
    <col min="2823" max="2823" width="12.1640625" style="1" customWidth="1"/>
    <col min="2824" max="2824" width="18.5" style="1" customWidth="1"/>
    <col min="2825" max="2825" width="10.83203125" style="1" customWidth="1"/>
    <col min="2826" max="2826" width="0" style="1" hidden="1" customWidth="1"/>
    <col min="2827" max="3072" width="8" style="1"/>
    <col min="3073" max="3073" width="10" style="1" customWidth="1"/>
    <col min="3074" max="3074" width="13.5" style="1" customWidth="1"/>
    <col min="3075" max="3075" width="6.6640625" style="1" customWidth="1"/>
    <col min="3076" max="3076" width="6.1640625" style="1" customWidth="1"/>
    <col min="3077" max="3077" width="1.5" style="1" customWidth="1"/>
    <col min="3078" max="3078" width="4.5" style="1" customWidth="1"/>
    <col min="3079" max="3079" width="12.1640625" style="1" customWidth="1"/>
    <col min="3080" max="3080" width="18.5" style="1" customWidth="1"/>
    <col min="3081" max="3081" width="10.83203125" style="1" customWidth="1"/>
    <col min="3082" max="3082" width="0" style="1" hidden="1" customWidth="1"/>
    <col min="3083" max="3328" width="8" style="1"/>
    <col min="3329" max="3329" width="10" style="1" customWidth="1"/>
    <col min="3330" max="3330" width="13.5" style="1" customWidth="1"/>
    <col min="3331" max="3331" width="6.6640625" style="1" customWidth="1"/>
    <col min="3332" max="3332" width="6.1640625" style="1" customWidth="1"/>
    <col min="3333" max="3333" width="1.5" style="1" customWidth="1"/>
    <col min="3334" max="3334" width="4.5" style="1" customWidth="1"/>
    <col min="3335" max="3335" width="12.1640625" style="1" customWidth="1"/>
    <col min="3336" max="3336" width="18.5" style="1" customWidth="1"/>
    <col min="3337" max="3337" width="10.83203125" style="1" customWidth="1"/>
    <col min="3338" max="3338" width="0" style="1" hidden="1" customWidth="1"/>
    <col min="3339" max="3584" width="8" style="1"/>
    <col min="3585" max="3585" width="10" style="1" customWidth="1"/>
    <col min="3586" max="3586" width="13.5" style="1" customWidth="1"/>
    <col min="3587" max="3587" width="6.6640625" style="1" customWidth="1"/>
    <col min="3588" max="3588" width="6.1640625" style="1" customWidth="1"/>
    <col min="3589" max="3589" width="1.5" style="1" customWidth="1"/>
    <col min="3590" max="3590" width="4.5" style="1" customWidth="1"/>
    <col min="3591" max="3591" width="12.1640625" style="1" customWidth="1"/>
    <col min="3592" max="3592" width="18.5" style="1" customWidth="1"/>
    <col min="3593" max="3593" width="10.83203125" style="1" customWidth="1"/>
    <col min="3594" max="3594" width="0" style="1" hidden="1" customWidth="1"/>
    <col min="3595" max="3840" width="8" style="1"/>
    <col min="3841" max="3841" width="10" style="1" customWidth="1"/>
    <col min="3842" max="3842" width="13.5" style="1" customWidth="1"/>
    <col min="3843" max="3843" width="6.6640625" style="1" customWidth="1"/>
    <col min="3844" max="3844" width="6.1640625" style="1" customWidth="1"/>
    <col min="3845" max="3845" width="1.5" style="1" customWidth="1"/>
    <col min="3846" max="3846" width="4.5" style="1" customWidth="1"/>
    <col min="3847" max="3847" width="12.1640625" style="1" customWidth="1"/>
    <col min="3848" max="3848" width="18.5" style="1" customWidth="1"/>
    <col min="3849" max="3849" width="10.83203125" style="1" customWidth="1"/>
    <col min="3850" max="3850" width="0" style="1" hidden="1" customWidth="1"/>
    <col min="3851" max="4096" width="8" style="1"/>
    <col min="4097" max="4097" width="10" style="1" customWidth="1"/>
    <col min="4098" max="4098" width="13.5" style="1" customWidth="1"/>
    <col min="4099" max="4099" width="6.6640625" style="1" customWidth="1"/>
    <col min="4100" max="4100" width="6.1640625" style="1" customWidth="1"/>
    <col min="4101" max="4101" width="1.5" style="1" customWidth="1"/>
    <col min="4102" max="4102" width="4.5" style="1" customWidth="1"/>
    <col min="4103" max="4103" width="12.1640625" style="1" customWidth="1"/>
    <col min="4104" max="4104" width="18.5" style="1" customWidth="1"/>
    <col min="4105" max="4105" width="10.83203125" style="1" customWidth="1"/>
    <col min="4106" max="4106" width="0" style="1" hidden="1" customWidth="1"/>
    <col min="4107" max="4352" width="8" style="1"/>
    <col min="4353" max="4353" width="10" style="1" customWidth="1"/>
    <col min="4354" max="4354" width="13.5" style="1" customWidth="1"/>
    <col min="4355" max="4355" width="6.6640625" style="1" customWidth="1"/>
    <col min="4356" max="4356" width="6.1640625" style="1" customWidth="1"/>
    <col min="4357" max="4357" width="1.5" style="1" customWidth="1"/>
    <col min="4358" max="4358" width="4.5" style="1" customWidth="1"/>
    <col min="4359" max="4359" width="12.1640625" style="1" customWidth="1"/>
    <col min="4360" max="4360" width="18.5" style="1" customWidth="1"/>
    <col min="4361" max="4361" width="10.83203125" style="1" customWidth="1"/>
    <col min="4362" max="4362" width="0" style="1" hidden="1" customWidth="1"/>
    <col min="4363" max="4608" width="8" style="1"/>
    <col min="4609" max="4609" width="10" style="1" customWidth="1"/>
    <col min="4610" max="4610" width="13.5" style="1" customWidth="1"/>
    <col min="4611" max="4611" width="6.6640625" style="1" customWidth="1"/>
    <col min="4612" max="4612" width="6.1640625" style="1" customWidth="1"/>
    <col min="4613" max="4613" width="1.5" style="1" customWidth="1"/>
    <col min="4614" max="4614" width="4.5" style="1" customWidth="1"/>
    <col min="4615" max="4615" width="12.1640625" style="1" customWidth="1"/>
    <col min="4616" max="4616" width="18.5" style="1" customWidth="1"/>
    <col min="4617" max="4617" width="10.83203125" style="1" customWidth="1"/>
    <col min="4618" max="4618" width="0" style="1" hidden="1" customWidth="1"/>
    <col min="4619" max="4864" width="8" style="1"/>
    <col min="4865" max="4865" width="10" style="1" customWidth="1"/>
    <col min="4866" max="4866" width="13.5" style="1" customWidth="1"/>
    <col min="4867" max="4867" width="6.6640625" style="1" customWidth="1"/>
    <col min="4868" max="4868" width="6.1640625" style="1" customWidth="1"/>
    <col min="4869" max="4869" width="1.5" style="1" customWidth="1"/>
    <col min="4870" max="4870" width="4.5" style="1" customWidth="1"/>
    <col min="4871" max="4871" width="12.1640625" style="1" customWidth="1"/>
    <col min="4872" max="4872" width="18.5" style="1" customWidth="1"/>
    <col min="4873" max="4873" width="10.83203125" style="1" customWidth="1"/>
    <col min="4874" max="4874" width="0" style="1" hidden="1" customWidth="1"/>
    <col min="4875" max="5120" width="8" style="1"/>
    <col min="5121" max="5121" width="10" style="1" customWidth="1"/>
    <col min="5122" max="5122" width="13.5" style="1" customWidth="1"/>
    <col min="5123" max="5123" width="6.6640625" style="1" customWidth="1"/>
    <col min="5124" max="5124" width="6.1640625" style="1" customWidth="1"/>
    <col min="5125" max="5125" width="1.5" style="1" customWidth="1"/>
    <col min="5126" max="5126" width="4.5" style="1" customWidth="1"/>
    <col min="5127" max="5127" width="12.1640625" style="1" customWidth="1"/>
    <col min="5128" max="5128" width="18.5" style="1" customWidth="1"/>
    <col min="5129" max="5129" width="10.83203125" style="1" customWidth="1"/>
    <col min="5130" max="5130" width="0" style="1" hidden="1" customWidth="1"/>
    <col min="5131" max="5376" width="8" style="1"/>
    <col min="5377" max="5377" width="10" style="1" customWidth="1"/>
    <col min="5378" max="5378" width="13.5" style="1" customWidth="1"/>
    <col min="5379" max="5379" width="6.6640625" style="1" customWidth="1"/>
    <col min="5380" max="5380" width="6.1640625" style="1" customWidth="1"/>
    <col min="5381" max="5381" width="1.5" style="1" customWidth="1"/>
    <col min="5382" max="5382" width="4.5" style="1" customWidth="1"/>
    <col min="5383" max="5383" width="12.1640625" style="1" customWidth="1"/>
    <col min="5384" max="5384" width="18.5" style="1" customWidth="1"/>
    <col min="5385" max="5385" width="10.83203125" style="1" customWidth="1"/>
    <col min="5386" max="5386" width="0" style="1" hidden="1" customWidth="1"/>
    <col min="5387" max="5632" width="8" style="1"/>
    <col min="5633" max="5633" width="10" style="1" customWidth="1"/>
    <col min="5634" max="5634" width="13.5" style="1" customWidth="1"/>
    <col min="5635" max="5635" width="6.6640625" style="1" customWidth="1"/>
    <col min="5636" max="5636" width="6.1640625" style="1" customWidth="1"/>
    <col min="5637" max="5637" width="1.5" style="1" customWidth="1"/>
    <col min="5638" max="5638" width="4.5" style="1" customWidth="1"/>
    <col min="5639" max="5639" width="12.1640625" style="1" customWidth="1"/>
    <col min="5640" max="5640" width="18.5" style="1" customWidth="1"/>
    <col min="5641" max="5641" width="10.83203125" style="1" customWidth="1"/>
    <col min="5642" max="5642" width="0" style="1" hidden="1" customWidth="1"/>
    <col min="5643" max="5888" width="8" style="1"/>
    <col min="5889" max="5889" width="10" style="1" customWidth="1"/>
    <col min="5890" max="5890" width="13.5" style="1" customWidth="1"/>
    <col min="5891" max="5891" width="6.6640625" style="1" customWidth="1"/>
    <col min="5892" max="5892" width="6.1640625" style="1" customWidth="1"/>
    <col min="5893" max="5893" width="1.5" style="1" customWidth="1"/>
    <col min="5894" max="5894" width="4.5" style="1" customWidth="1"/>
    <col min="5895" max="5895" width="12.1640625" style="1" customWidth="1"/>
    <col min="5896" max="5896" width="18.5" style="1" customWidth="1"/>
    <col min="5897" max="5897" width="10.83203125" style="1" customWidth="1"/>
    <col min="5898" max="5898" width="0" style="1" hidden="1" customWidth="1"/>
    <col min="5899" max="6144" width="8" style="1"/>
    <col min="6145" max="6145" width="10" style="1" customWidth="1"/>
    <col min="6146" max="6146" width="13.5" style="1" customWidth="1"/>
    <col min="6147" max="6147" width="6.6640625" style="1" customWidth="1"/>
    <col min="6148" max="6148" width="6.1640625" style="1" customWidth="1"/>
    <col min="6149" max="6149" width="1.5" style="1" customWidth="1"/>
    <col min="6150" max="6150" width="4.5" style="1" customWidth="1"/>
    <col min="6151" max="6151" width="12.1640625" style="1" customWidth="1"/>
    <col min="6152" max="6152" width="18.5" style="1" customWidth="1"/>
    <col min="6153" max="6153" width="10.83203125" style="1" customWidth="1"/>
    <col min="6154" max="6154" width="0" style="1" hidden="1" customWidth="1"/>
    <col min="6155" max="6400" width="8" style="1"/>
    <col min="6401" max="6401" width="10" style="1" customWidth="1"/>
    <col min="6402" max="6402" width="13.5" style="1" customWidth="1"/>
    <col min="6403" max="6403" width="6.6640625" style="1" customWidth="1"/>
    <col min="6404" max="6404" width="6.1640625" style="1" customWidth="1"/>
    <col min="6405" max="6405" width="1.5" style="1" customWidth="1"/>
    <col min="6406" max="6406" width="4.5" style="1" customWidth="1"/>
    <col min="6407" max="6407" width="12.1640625" style="1" customWidth="1"/>
    <col min="6408" max="6408" width="18.5" style="1" customWidth="1"/>
    <col min="6409" max="6409" width="10.83203125" style="1" customWidth="1"/>
    <col min="6410" max="6410" width="0" style="1" hidden="1" customWidth="1"/>
    <col min="6411" max="6656" width="8" style="1"/>
    <col min="6657" max="6657" width="10" style="1" customWidth="1"/>
    <col min="6658" max="6658" width="13.5" style="1" customWidth="1"/>
    <col min="6659" max="6659" width="6.6640625" style="1" customWidth="1"/>
    <col min="6660" max="6660" width="6.1640625" style="1" customWidth="1"/>
    <col min="6661" max="6661" width="1.5" style="1" customWidth="1"/>
    <col min="6662" max="6662" width="4.5" style="1" customWidth="1"/>
    <col min="6663" max="6663" width="12.1640625" style="1" customWidth="1"/>
    <col min="6664" max="6664" width="18.5" style="1" customWidth="1"/>
    <col min="6665" max="6665" width="10.83203125" style="1" customWidth="1"/>
    <col min="6666" max="6666" width="0" style="1" hidden="1" customWidth="1"/>
    <col min="6667" max="6912" width="8" style="1"/>
    <col min="6913" max="6913" width="10" style="1" customWidth="1"/>
    <col min="6914" max="6914" width="13.5" style="1" customWidth="1"/>
    <col min="6915" max="6915" width="6.6640625" style="1" customWidth="1"/>
    <col min="6916" max="6916" width="6.1640625" style="1" customWidth="1"/>
    <col min="6917" max="6917" width="1.5" style="1" customWidth="1"/>
    <col min="6918" max="6918" width="4.5" style="1" customWidth="1"/>
    <col min="6919" max="6919" width="12.1640625" style="1" customWidth="1"/>
    <col min="6920" max="6920" width="18.5" style="1" customWidth="1"/>
    <col min="6921" max="6921" width="10.83203125" style="1" customWidth="1"/>
    <col min="6922" max="6922" width="0" style="1" hidden="1" customWidth="1"/>
    <col min="6923" max="7168" width="8" style="1"/>
    <col min="7169" max="7169" width="10" style="1" customWidth="1"/>
    <col min="7170" max="7170" width="13.5" style="1" customWidth="1"/>
    <col min="7171" max="7171" width="6.6640625" style="1" customWidth="1"/>
    <col min="7172" max="7172" width="6.1640625" style="1" customWidth="1"/>
    <col min="7173" max="7173" width="1.5" style="1" customWidth="1"/>
    <col min="7174" max="7174" width="4.5" style="1" customWidth="1"/>
    <col min="7175" max="7175" width="12.1640625" style="1" customWidth="1"/>
    <col min="7176" max="7176" width="18.5" style="1" customWidth="1"/>
    <col min="7177" max="7177" width="10.83203125" style="1" customWidth="1"/>
    <col min="7178" max="7178" width="0" style="1" hidden="1" customWidth="1"/>
    <col min="7179" max="7424" width="8" style="1"/>
    <col min="7425" max="7425" width="10" style="1" customWidth="1"/>
    <col min="7426" max="7426" width="13.5" style="1" customWidth="1"/>
    <col min="7427" max="7427" width="6.6640625" style="1" customWidth="1"/>
    <col min="7428" max="7428" width="6.1640625" style="1" customWidth="1"/>
    <col min="7429" max="7429" width="1.5" style="1" customWidth="1"/>
    <col min="7430" max="7430" width="4.5" style="1" customWidth="1"/>
    <col min="7431" max="7431" width="12.1640625" style="1" customWidth="1"/>
    <col min="7432" max="7432" width="18.5" style="1" customWidth="1"/>
    <col min="7433" max="7433" width="10.83203125" style="1" customWidth="1"/>
    <col min="7434" max="7434" width="0" style="1" hidden="1" customWidth="1"/>
    <col min="7435" max="7680" width="8" style="1"/>
    <col min="7681" max="7681" width="10" style="1" customWidth="1"/>
    <col min="7682" max="7682" width="13.5" style="1" customWidth="1"/>
    <col min="7683" max="7683" width="6.6640625" style="1" customWidth="1"/>
    <col min="7684" max="7684" width="6.1640625" style="1" customWidth="1"/>
    <col min="7685" max="7685" width="1.5" style="1" customWidth="1"/>
    <col min="7686" max="7686" width="4.5" style="1" customWidth="1"/>
    <col min="7687" max="7687" width="12.1640625" style="1" customWidth="1"/>
    <col min="7688" max="7688" width="18.5" style="1" customWidth="1"/>
    <col min="7689" max="7689" width="10.83203125" style="1" customWidth="1"/>
    <col min="7690" max="7690" width="0" style="1" hidden="1" customWidth="1"/>
    <col min="7691" max="7936" width="8" style="1"/>
    <col min="7937" max="7937" width="10" style="1" customWidth="1"/>
    <col min="7938" max="7938" width="13.5" style="1" customWidth="1"/>
    <col min="7939" max="7939" width="6.6640625" style="1" customWidth="1"/>
    <col min="7940" max="7940" width="6.1640625" style="1" customWidth="1"/>
    <col min="7941" max="7941" width="1.5" style="1" customWidth="1"/>
    <col min="7942" max="7942" width="4.5" style="1" customWidth="1"/>
    <col min="7943" max="7943" width="12.1640625" style="1" customWidth="1"/>
    <col min="7944" max="7944" width="18.5" style="1" customWidth="1"/>
    <col min="7945" max="7945" width="10.83203125" style="1" customWidth="1"/>
    <col min="7946" max="7946" width="0" style="1" hidden="1" customWidth="1"/>
    <col min="7947" max="8192" width="8" style="1"/>
    <col min="8193" max="8193" width="10" style="1" customWidth="1"/>
    <col min="8194" max="8194" width="13.5" style="1" customWidth="1"/>
    <col min="8195" max="8195" width="6.6640625" style="1" customWidth="1"/>
    <col min="8196" max="8196" width="6.1640625" style="1" customWidth="1"/>
    <col min="8197" max="8197" width="1.5" style="1" customWidth="1"/>
    <col min="8198" max="8198" width="4.5" style="1" customWidth="1"/>
    <col min="8199" max="8199" width="12.1640625" style="1" customWidth="1"/>
    <col min="8200" max="8200" width="18.5" style="1" customWidth="1"/>
    <col min="8201" max="8201" width="10.83203125" style="1" customWidth="1"/>
    <col min="8202" max="8202" width="0" style="1" hidden="1" customWidth="1"/>
    <col min="8203" max="8448" width="8" style="1"/>
    <col min="8449" max="8449" width="10" style="1" customWidth="1"/>
    <col min="8450" max="8450" width="13.5" style="1" customWidth="1"/>
    <col min="8451" max="8451" width="6.6640625" style="1" customWidth="1"/>
    <col min="8452" max="8452" width="6.1640625" style="1" customWidth="1"/>
    <col min="8453" max="8453" width="1.5" style="1" customWidth="1"/>
    <col min="8454" max="8454" width="4.5" style="1" customWidth="1"/>
    <col min="8455" max="8455" width="12.1640625" style="1" customWidth="1"/>
    <col min="8456" max="8456" width="18.5" style="1" customWidth="1"/>
    <col min="8457" max="8457" width="10.83203125" style="1" customWidth="1"/>
    <col min="8458" max="8458" width="0" style="1" hidden="1" customWidth="1"/>
    <col min="8459" max="8704" width="8" style="1"/>
    <col min="8705" max="8705" width="10" style="1" customWidth="1"/>
    <col min="8706" max="8706" width="13.5" style="1" customWidth="1"/>
    <col min="8707" max="8707" width="6.6640625" style="1" customWidth="1"/>
    <col min="8708" max="8708" width="6.1640625" style="1" customWidth="1"/>
    <col min="8709" max="8709" width="1.5" style="1" customWidth="1"/>
    <col min="8710" max="8710" width="4.5" style="1" customWidth="1"/>
    <col min="8711" max="8711" width="12.1640625" style="1" customWidth="1"/>
    <col min="8712" max="8712" width="18.5" style="1" customWidth="1"/>
    <col min="8713" max="8713" width="10.83203125" style="1" customWidth="1"/>
    <col min="8714" max="8714" width="0" style="1" hidden="1" customWidth="1"/>
    <col min="8715" max="8960" width="8" style="1"/>
    <col min="8961" max="8961" width="10" style="1" customWidth="1"/>
    <col min="8962" max="8962" width="13.5" style="1" customWidth="1"/>
    <col min="8963" max="8963" width="6.6640625" style="1" customWidth="1"/>
    <col min="8964" max="8964" width="6.1640625" style="1" customWidth="1"/>
    <col min="8965" max="8965" width="1.5" style="1" customWidth="1"/>
    <col min="8966" max="8966" width="4.5" style="1" customWidth="1"/>
    <col min="8967" max="8967" width="12.1640625" style="1" customWidth="1"/>
    <col min="8968" max="8968" width="18.5" style="1" customWidth="1"/>
    <col min="8969" max="8969" width="10.83203125" style="1" customWidth="1"/>
    <col min="8970" max="8970" width="0" style="1" hidden="1" customWidth="1"/>
    <col min="8971" max="9216" width="8" style="1"/>
    <col min="9217" max="9217" width="10" style="1" customWidth="1"/>
    <col min="9218" max="9218" width="13.5" style="1" customWidth="1"/>
    <col min="9219" max="9219" width="6.6640625" style="1" customWidth="1"/>
    <col min="9220" max="9220" width="6.1640625" style="1" customWidth="1"/>
    <col min="9221" max="9221" width="1.5" style="1" customWidth="1"/>
    <col min="9222" max="9222" width="4.5" style="1" customWidth="1"/>
    <col min="9223" max="9223" width="12.1640625" style="1" customWidth="1"/>
    <col min="9224" max="9224" width="18.5" style="1" customWidth="1"/>
    <col min="9225" max="9225" width="10.83203125" style="1" customWidth="1"/>
    <col min="9226" max="9226" width="0" style="1" hidden="1" customWidth="1"/>
    <col min="9227" max="9472" width="8" style="1"/>
    <col min="9473" max="9473" width="10" style="1" customWidth="1"/>
    <col min="9474" max="9474" width="13.5" style="1" customWidth="1"/>
    <col min="9475" max="9475" width="6.6640625" style="1" customWidth="1"/>
    <col min="9476" max="9476" width="6.1640625" style="1" customWidth="1"/>
    <col min="9477" max="9477" width="1.5" style="1" customWidth="1"/>
    <col min="9478" max="9478" width="4.5" style="1" customWidth="1"/>
    <col min="9479" max="9479" width="12.1640625" style="1" customWidth="1"/>
    <col min="9480" max="9480" width="18.5" style="1" customWidth="1"/>
    <col min="9481" max="9481" width="10.83203125" style="1" customWidth="1"/>
    <col min="9482" max="9482" width="0" style="1" hidden="1" customWidth="1"/>
    <col min="9483" max="9728" width="8" style="1"/>
    <col min="9729" max="9729" width="10" style="1" customWidth="1"/>
    <col min="9730" max="9730" width="13.5" style="1" customWidth="1"/>
    <col min="9731" max="9731" width="6.6640625" style="1" customWidth="1"/>
    <col min="9732" max="9732" width="6.1640625" style="1" customWidth="1"/>
    <col min="9733" max="9733" width="1.5" style="1" customWidth="1"/>
    <col min="9734" max="9734" width="4.5" style="1" customWidth="1"/>
    <col min="9735" max="9735" width="12.1640625" style="1" customWidth="1"/>
    <col min="9736" max="9736" width="18.5" style="1" customWidth="1"/>
    <col min="9737" max="9737" width="10.83203125" style="1" customWidth="1"/>
    <col min="9738" max="9738" width="0" style="1" hidden="1" customWidth="1"/>
    <col min="9739" max="9984" width="8" style="1"/>
    <col min="9985" max="9985" width="10" style="1" customWidth="1"/>
    <col min="9986" max="9986" width="13.5" style="1" customWidth="1"/>
    <col min="9987" max="9987" width="6.6640625" style="1" customWidth="1"/>
    <col min="9988" max="9988" width="6.1640625" style="1" customWidth="1"/>
    <col min="9989" max="9989" width="1.5" style="1" customWidth="1"/>
    <col min="9990" max="9990" width="4.5" style="1" customWidth="1"/>
    <col min="9991" max="9991" width="12.1640625" style="1" customWidth="1"/>
    <col min="9992" max="9992" width="18.5" style="1" customWidth="1"/>
    <col min="9993" max="9993" width="10.83203125" style="1" customWidth="1"/>
    <col min="9994" max="9994" width="0" style="1" hidden="1" customWidth="1"/>
    <col min="9995" max="10240" width="8" style="1"/>
    <col min="10241" max="10241" width="10" style="1" customWidth="1"/>
    <col min="10242" max="10242" width="13.5" style="1" customWidth="1"/>
    <col min="10243" max="10243" width="6.6640625" style="1" customWidth="1"/>
    <col min="10244" max="10244" width="6.1640625" style="1" customWidth="1"/>
    <col min="10245" max="10245" width="1.5" style="1" customWidth="1"/>
    <col min="10246" max="10246" width="4.5" style="1" customWidth="1"/>
    <col min="10247" max="10247" width="12.1640625" style="1" customWidth="1"/>
    <col min="10248" max="10248" width="18.5" style="1" customWidth="1"/>
    <col min="10249" max="10249" width="10.83203125" style="1" customWidth="1"/>
    <col min="10250" max="10250" width="0" style="1" hidden="1" customWidth="1"/>
    <col min="10251" max="10496" width="8" style="1"/>
    <col min="10497" max="10497" width="10" style="1" customWidth="1"/>
    <col min="10498" max="10498" width="13.5" style="1" customWidth="1"/>
    <col min="10499" max="10499" width="6.6640625" style="1" customWidth="1"/>
    <col min="10500" max="10500" width="6.1640625" style="1" customWidth="1"/>
    <col min="10501" max="10501" width="1.5" style="1" customWidth="1"/>
    <col min="10502" max="10502" width="4.5" style="1" customWidth="1"/>
    <col min="10503" max="10503" width="12.1640625" style="1" customWidth="1"/>
    <col min="10504" max="10504" width="18.5" style="1" customWidth="1"/>
    <col min="10505" max="10505" width="10.83203125" style="1" customWidth="1"/>
    <col min="10506" max="10506" width="0" style="1" hidden="1" customWidth="1"/>
    <col min="10507" max="10752" width="8" style="1"/>
    <col min="10753" max="10753" width="10" style="1" customWidth="1"/>
    <col min="10754" max="10754" width="13.5" style="1" customWidth="1"/>
    <col min="10755" max="10755" width="6.6640625" style="1" customWidth="1"/>
    <col min="10756" max="10756" width="6.1640625" style="1" customWidth="1"/>
    <col min="10757" max="10757" width="1.5" style="1" customWidth="1"/>
    <col min="10758" max="10758" width="4.5" style="1" customWidth="1"/>
    <col min="10759" max="10759" width="12.1640625" style="1" customWidth="1"/>
    <col min="10760" max="10760" width="18.5" style="1" customWidth="1"/>
    <col min="10761" max="10761" width="10.83203125" style="1" customWidth="1"/>
    <col min="10762" max="10762" width="0" style="1" hidden="1" customWidth="1"/>
    <col min="10763" max="11008" width="8" style="1"/>
    <col min="11009" max="11009" width="10" style="1" customWidth="1"/>
    <col min="11010" max="11010" width="13.5" style="1" customWidth="1"/>
    <col min="11011" max="11011" width="6.6640625" style="1" customWidth="1"/>
    <col min="11012" max="11012" width="6.1640625" style="1" customWidth="1"/>
    <col min="11013" max="11013" width="1.5" style="1" customWidth="1"/>
    <col min="11014" max="11014" width="4.5" style="1" customWidth="1"/>
    <col min="11015" max="11015" width="12.1640625" style="1" customWidth="1"/>
    <col min="11016" max="11016" width="18.5" style="1" customWidth="1"/>
    <col min="11017" max="11017" width="10.83203125" style="1" customWidth="1"/>
    <col min="11018" max="11018" width="0" style="1" hidden="1" customWidth="1"/>
    <col min="11019" max="11264" width="8" style="1"/>
    <col min="11265" max="11265" width="10" style="1" customWidth="1"/>
    <col min="11266" max="11266" width="13.5" style="1" customWidth="1"/>
    <col min="11267" max="11267" width="6.6640625" style="1" customWidth="1"/>
    <col min="11268" max="11268" width="6.1640625" style="1" customWidth="1"/>
    <col min="11269" max="11269" width="1.5" style="1" customWidth="1"/>
    <col min="11270" max="11270" width="4.5" style="1" customWidth="1"/>
    <col min="11271" max="11271" width="12.1640625" style="1" customWidth="1"/>
    <col min="11272" max="11272" width="18.5" style="1" customWidth="1"/>
    <col min="11273" max="11273" width="10.83203125" style="1" customWidth="1"/>
    <col min="11274" max="11274" width="0" style="1" hidden="1" customWidth="1"/>
    <col min="11275" max="11520" width="8" style="1"/>
    <col min="11521" max="11521" width="10" style="1" customWidth="1"/>
    <col min="11522" max="11522" width="13.5" style="1" customWidth="1"/>
    <col min="11523" max="11523" width="6.6640625" style="1" customWidth="1"/>
    <col min="11524" max="11524" width="6.1640625" style="1" customWidth="1"/>
    <col min="11525" max="11525" width="1.5" style="1" customWidth="1"/>
    <col min="11526" max="11526" width="4.5" style="1" customWidth="1"/>
    <col min="11527" max="11527" width="12.1640625" style="1" customWidth="1"/>
    <col min="11528" max="11528" width="18.5" style="1" customWidth="1"/>
    <col min="11529" max="11529" width="10.83203125" style="1" customWidth="1"/>
    <col min="11530" max="11530" width="0" style="1" hidden="1" customWidth="1"/>
    <col min="11531" max="11776" width="8" style="1"/>
    <col min="11777" max="11777" width="10" style="1" customWidth="1"/>
    <col min="11778" max="11778" width="13.5" style="1" customWidth="1"/>
    <col min="11779" max="11779" width="6.6640625" style="1" customWidth="1"/>
    <col min="11780" max="11780" width="6.1640625" style="1" customWidth="1"/>
    <col min="11781" max="11781" width="1.5" style="1" customWidth="1"/>
    <col min="11782" max="11782" width="4.5" style="1" customWidth="1"/>
    <col min="11783" max="11783" width="12.1640625" style="1" customWidth="1"/>
    <col min="11784" max="11784" width="18.5" style="1" customWidth="1"/>
    <col min="11785" max="11785" width="10.83203125" style="1" customWidth="1"/>
    <col min="11786" max="11786" width="0" style="1" hidden="1" customWidth="1"/>
    <col min="11787" max="12032" width="8" style="1"/>
    <col min="12033" max="12033" width="10" style="1" customWidth="1"/>
    <col min="12034" max="12034" width="13.5" style="1" customWidth="1"/>
    <col min="12035" max="12035" width="6.6640625" style="1" customWidth="1"/>
    <col min="12036" max="12036" width="6.1640625" style="1" customWidth="1"/>
    <col min="12037" max="12037" width="1.5" style="1" customWidth="1"/>
    <col min="12038" max="12038" width="4.5" style="1" customWidth="1"/>
    <col min="12039" max="12039" width="12.1640625" style="1" customWidth="1"/>
    <col min="12040" max="12040" width="18.5" style="1" customWidth="1"/>
    <col min="12041" max="12041" width="10.83203125" style="1" customWidth="1"/>
    <col min="12042" max="12042" width="0" style="1" hidden="1" customWidth="1"/>
    <col min="12043" max="12288" width="8" style="1"/>
    <col min="12289" max="12289" width="10" style="1" customWidth="1"/>
    <col min="12290" max="12290" width="13.5" style="1" customWidth="1"/>
    <col min="12291" max="12291" width="6.6640625" style="1" customWidth="1"/>
    <col min="12292" max="12292" width="6.1640625" style="1" customWidth="1"/>
    <col min="12293" max="12293" width="1.5" style="1" customWidth="1"/>
    <col min="12294" max="12294" width="4.5" style="1" customWidth="1"/>
    <col min="12295" max="12295" width="12.1640625" style="1" customWidth="1"/>
    <col min="12296" max="12296" width="18.5" style="1" customWidth="1"/>
    <col min="12297" max="12297" width="10.83203125" style="1" customWidth="1"/>
    <col min="12298" max="12298" width="0" style="1" hidden="1" customWidth="1"/>
    <col min="12299" max="12544" width="8" style="1"/>
    <col min="12545" max="12545" width="10" style="1" customWidth="1"/>
    <col min="12546" max="12546" width="13.5" style="1" customWidth="1"/>
    <col min="12547" max="12547" width="6.6640625" style="1" customWidth="1"/>
    <col min="12548" max="12548" width="6.1640625" style="1" customWidth="1"/>
    <col min="12549" max="12549" width="1.5" style="1" customWidth="1"/>
    <col min="12550" max="12550" width="4.5" style="1" customWidth="1"/>
    <col min="12551" max="12551" width="12.1640625" style="1" customWidth="1"/>
    <col min="12552" max="12552" width="18.5" style="1" customWidth="1"/>
    <col min="12553" max="12553" width="10.83203125" style="1" customWidth="1"/>
    <col min="12554" max="12554" width="0" style="1" hidden="1" customWidth="1"/>
    <col min="12555" max="12800" width="8" style="1"/>
    <col min="12801" max="12801" width="10" style="1" customWidth="1"/>
    <col min="12802" max="12802" width="13.5" style="1" customWidth="1"/>
    <col min="12803" max="12803" width="6.6640625" style="1" customWidth="1"/>
    <col min="12804" max="12804" width="6.1640625" style="1" customWidth="1"/>
    <col min="12805" max="12805" width="1.5" style="1" customWidth="1"/>
    <col min="12806" max="12806" width="4.5" style="1" customWidth="1"/>
    <col min="12807" max="12807" width="12.1640625" style="1" customWidth="1"/>
    <col min="12808" max="12808" width="18.5" style="1" customWidth="1"/>
    <col min="12809" max="12809" width="10.83203125" style="1" customWidth="1"/>
    <col min="12810" max="12810" width="0" style="1" hidden="1" customWidth="1"/>
    <col min="12811" max="13056" width="8" style="1"/>
    <col min="13057" max="13057" width="10" style="1" customWidth="1"/>
    <col min="13058" max="13058" width="13.5" style="1" customWidth="1"/>
    <col min="13059" max="13059" width="6.6640625" style="1" customWidth="1"/>
    <col min="13060" max="13060" width="6.1640625" style="1" customWidth="1"/>
    <col min="13061" max="13061" width="1.5" style="1" customWidth="1"/>
    <col min="13062" max="13062" width="4.5" style="1" customWidth="1"/>
    <col min="13063" max="13063" width="12.1640625" style="1" customWidth="1"/>
    <col min="13064" max="13064" width="18.5" style="1" customWidth="1"/>
    <col min="13065" max="13065" width="10.83203125" style="1" customWidth="1"/>
    <col min="13066" max="13066" width="0" style="1" hidden="1" customWidth="1"/>
    <col min="13067" max="13312" width="8" style="1"/>
    <col min="13313" max="13313" width="10" style="1" customWidth="1"/>
    <col min="13314" max="13314" width="13.5" style="1" customWidth="1"/>
    <col min="13315" max="13315" width="6.6640625" style="1" customWidth="1"/>
    <col min="13316" max="13316" width="6.1640625" style="1" customWidth="1"/>
    <col min="13317" max="13317" width="1.5" style="1" customWidth="1"/>
    <col min="13318" max="13318" width="4.5" style="1" customWidth="1"/>
    <col min="13319" max="13319" width="12.1640625" style="1" customWidth="1"/>
    <col min="13320" max="13320" width="18.5" style="1" customWidth="1"/>
    <col min="13321" max="13321" width="10.83203125" style="1" customWidth="1"/>
    <col min="13322" max="13322" width="0" style="1" hidden="1" customWidth="1"/>
    <col min="13323" max="13568" width="8" style="1"/>
    <col min="13569" max="13569" width="10" style="1" customWidth="1"/>
    <col min="13570" max="13570" width="13.5" style="1" customWidth="1"/>
    <col min="13571" max="13571" width="6.6640625" style="1" customWidth="1"/>
    <col min="13572" max="13572" width="6.1640625" style="1" customWidth="1"/>
    <col min="13573" max="13573" width="1.5" style="1" customWidth="1"/>
    <col min="13574" max="13574" width="4.5" style="1" customWidth="1"/>
    <col min="13575" max="13575" width="12.1640625" style="1" customWidth="1"/>
    <col min="13576" max="13576" width="18.5" style="1" customWidth="1"/>
    <col min="13577" max="13577" width="10.83203125" style="1" customWidth="1"/>
    <col min="13578" max="13578" width="0" style="1" hidden="1" customWidth="1"/>
    <col min="13579" max="13824" width="8" style="1"/>
    <col min="13825" max="13825" width="10" style="1" customWidth="1"/>
    <col min="13826" max="13826" width="13.5" style="1" customWidth="1"/>
    <col min="13827" max="13827" width="6.6640625" style="1" customWidth="1"/>
    <col min="13828" max="13828" width="6.1640625" style="1" customWidth="1"/>
    <col min="13829" max="13829" width="1.5" style="1" customWidth="1"/>
    <col min="13830" max="13830" width="4.5" style="1" customWidth="1"/>
    <col min="13831" max="13831" width="12.1640625" style="1" customWidth="1"/>
    <col min="13832" max="13832" width="18.5" style="1" customWidth="1"/>
    <col min="13833" max="13833" width="10.83203125" style="1" customWidth="1"/>
    <col min="13834" max="13834" width="0" style="1" hidden="1" customWidth="1"/>
    <col min="13835" max="14080" width="8" style="1"/>
    <col min="14081" max="14081" width="10" style="1" customWidth="1"/>
    <col min="14082" max="14082" width="13.5" style="1" customWidth="1"/>
    <col min="14083" max="14083" width="6.6640625" style="1" customWidth="1"/>
    <col min="14084" max="14084" width="6.1640625" style="1" customWidth="1"/>
    <col min="14085" max="14085" width="1.5" style="1" customWidth="1"/>
    <col min="14086" max="14086" width="4.5" style="1" customWidth="1"/>
    <col min="14087" max="14087" width="12.1640625" style="1" customWidth="1"/>
    <col min="14088" max="14088" width="18.5" style="1" customWidth="1"/>
    <col min="14089" max="14089" width="10.83203125" style="1" customWidth="1"/>
    <col min="14090" max="14090" width="0" style="1" hidden="1" customWidth="1"/>
    <col min="14091" max="14336" width="8" style="1"/>
    <col min="14337" max="14337" width="10" style="1" customWidth="1"/>
    <col min="14338" max="14338" width="13.5" style="1" customWidth="1"/>
    <col min="14339" max="14339" width="6.6640625" style="1" customWidth="1"/>
    <col min="14340" max="14340" width="6.1640625" style="1" customWidth="1"/>
    <col min="14341" max="14341" width="1.5" style="1" customWidth="1"/>
    <col min="14342" max="14342" width="4.5" style="1" customWidth="1"/>
    <col min="14343" max="14343" width="12.1640625" style="1" customWidth="1"/>
    <col min="14344" max="14344" width="18.5" style="1" customWidth="1"/>
    <col min="14345" max="14345" width="10.83203125" style="1" customWidth="1"/>
    <col min="14346" max="14346" width="0" style="1" hidden="1" customWidth="1"/>
    <col min="14347" max="14592" width="8" style="1"/>
    <col min="14593" max="14593" width="10" style="1" customWidth="1"/>
    <col min="14594" max="14594" width="13.5" style="1" customWidth="1"/>
    <col min="14595" max="14595" width="6.6640625" style="1" customWidth="1"/>
    <col min="14596" max="14596" width="6.1640625" style="1" customWidth="1"/>
    <col min="14597" max="14597" width="1.5" style="1" customWidth="1"/>
    <col min="14598" max="14598" width="4.5" style="1" customWidth="1"/>
    <col min="14599" max="14599" width="12.1640625" style="1" customWidth="1"/>
    <col min="14600" max="14600" width="18.5" style="1" customWidth="1"/>
    <col min="14601" max="14601" width="10.83203125" style="1" customWidth="1"/>
    <col min="14602" max="14602" width="0" style="1" hidden="1" customWidth="1"/>
    <col min="14603" max="14848" width="8" style="1"/>
    <col min="14849" max="14849" width="10" style="1" customWidth="1"/>
    <col min="14850" max="14850" width="13.5" style="1" customWidth="1"/>
    <col min="14851" max="14851" width="6.6640625" style="1" customWidth="1"/>
    <col min="14852" max="14852" width="6.1640625" style="1" customWidth="1"/>
    <col min="14853" max="14853" width="1.5" style="1" customWidth="1"/>
    <col min="14854" max="14854" width="4.5" style="1" customWidth="1"/>
    <col min="14855" max="14855" width="12.1640625" style="1" customWidth="1"/>
    <col min="14856" max="14856" width="18.5" style="1" customWidth="1"/>
    <col min="14857" max="14857" width="10.83203125" style="1" customWidth="1"/>
    <col min="14858" max="14858" width="0" style="1" hidden="1" customWidth="1"/>
    <col min="14859" max="15104" width="8" style="1"/>
    <col min="15105" max="15105" width="10" style="1" customWidth="1"/>
    <col min="15106" max="15106" width="13.5" style="1" customWidth="1"/>
    <col min="15107" max="15107" width="6.6640625" style="1" customWidth="1"/>
    <col min="15108" max="15108" width="6.1640625" style="1" customWidth="1"/>
    <col min="15109" max="15109" width="1.5" style="1" customWidth="1"/>
    <col min="15110" max="15110" width="4.5" style="1" customWidth="1"/>
    <col min="15111" max="15111" width="12.1640625" style="1" customWidth="1"/>
    <col min="15112" max="15112" width="18.5" style="1" customWidth="1"/>
    <col min="15113" max="15113" width="10.83203125" style="1" customWidth="1"/>
    <col min="15114" max="15114" width="0" style="1" hidden="1" customWidth="1"/>
    <col min="15115" max="15360" width="8" style="1"/>
    <col min="15361" max="15361" width="10" style="1" customWidth="1"/>
    <col min="15362" max="15362" width="13.5" style="1" customWidth="1"/>
    <col min="15363" max="15363" width="6.6640625" style="1" customWidth="1"/>
    <col min="15364" max="15364" width="6.1640625" style="1" customWidth="1"/>
    <col min="15365" max="15365" width="1.5" style="1" customWidth="1"/>
    <col min="15366" max="15366" width="4.5" style="1" customWidth="1"/>
    <col min="15367" max="15367" width="12.1640625" style="1" customWidth="1"/>
    <col min="15368" max="15368" width="18.5" style="1" customWidth="1"/>
    <col min="15369" max="15369" width="10.83203125" style="1" customWidth="1"/>
    <col min="15370" max="15370" width="0" style="1" hidden="1" customWidth="1"/>
    <col min="15371" max="15616" width="8" style="1"/>
    <col min="15617" max="15617" width="10" style="1" customWidth="1"/>
    <col min="15618" max="15618" width="13.5" style="1" customWidth="1"/>
    <col min="15619" max="15619" width="6.6640625" style="1" customWidth="1"/>
    <col min="15620" max="15620" width="6.1640625" style="1" customWidth="1"/>
    <col min="15621" max="15621" width="1.5" style="1" customWidth="1"/>
    <col min="15622" max="15622" width="4.5" style="1" customWidth="1"/>
    <col min="15623" max="15623" width="12.1640625" style="1" customWidth="1"/>
    <col min="15624" max="15624" width="18.5" style="1" customWidth="1"/>
    <col min="15625" max="15625" width="10.83203125" style="1" customWidth="1"/>
    <col min="15626" max="15626" width="0" style="1" hidden="1" customWidth="1"/>
    <col min="15627" max="15872" width="8" style="1"/>
    <col min="15873" max="15873" width="10" style="1" customWidth="1"/>
    <col min="15874" max="15874" width="13.5" style="1" customWidth="1"/>
    <col min="15875" max="15875" width="6.6640625" style="1" customWidth="1"/>
    <col min="15876" max="15876" width="6.1640625" style="1" customWidth="1"/>
    <col min="15877" max="15877" width="1.5" style="1" customWidth="1"/>
    <col min="15878" max="15878" width="4.5" style="1" customWidth="1"/>
    <col min="15879" max="15879" width="12.1640625" style="1" customWidth="1"/>
    <col min="15880" max="15880" width="18.5" style="1" customWidth="1"/>
    <col min="15881" max="15881" width="10.83203125" style="1" customWidth="1"/>
    <col min="15882" max="15882" width="0" style="1" hidden="1" customWidth="1"/>
    <col min="15883" max="16128" width="8" style="1"/>
    <col min="16129" max="16129" width="10" style="1" customWidth="1"/>
    <col min="16130" max="16130" width="13.5" style="1" customWidth="1"/>
    <col min="16131" max="16131" width="6.6640625" style="1" customWidth="1"/>
    <col min="16132" max="16132" width="6.1640625" style="1" customWidth="1"/>
    <col min="16133" max="16133" width="1.5" style="1" customWidth="1"/>
    <col min="16134" max="16134" width="4.5" style="1" customWidth="1"/>
    <col min="16135" max="16135" width="12.1640625" style="1" customWidth="1"/>
    <col min="16136" max="16136" width="18.5" style="1" customWidth="1"/>
    <col min="16137" max="16137" width="10.83203125" style="1" customWidth="1"/>
    <col min="16138" max="16138" width="0" style="1" hidden="1" customWidth="1"/>
    <col min="16139" max="16384" width="8" style="1"/>
  </cols>
  <sheetData>
    <row r="1" spans="1:11">
      <c r="G1" s="3"/>
    </row>
    <row r="2" spans="1:11" ht="15" thickBot="1">
      <c r="G2" s="3"/>
    </row>
    <row r="3" spans="1:11" ht="50" customHeight="1">
      <c r="A3" s="80" t="s">
        <v>0</v>
      </c>
      <c r="B3" s="81"/>
      <c r="C3" s="81"/>
      <c r="D3" s="81"/>
      <c r="E3" s="81"/>
      <c r="F3" s="81"/>
      <c r="G3" s="81"/>
      <c r="H3" s="81"/>
      <c r="I3" s="82"/>
      <c r="J3" s="4"/>
      <c r="K3" s="5"/>
    </row>
    <row r="4" spans="1:11" ht="16.5" customHeight="1">
      <c r="A4" s="6"/>
      <c r="B4" s="7"/>
      <c r="C4" s="7"/>
      <c r="D4" s="7"/>
      <c r="E4" s="7"/>
      <c r="F4" s="7"/>
      <c r="G4" s="7"/>
      <c r="H4" s="7"/>
      <c r="I4" s="8"/>
      <c r="K4" s="5"/>
    </row>
    <row r="5" spans="1:11" ht="51.75" customHeight="1">
      <c r="A5" s="83" t="s">
        <v>1</v>
      </c>
      <c r="B5" s="84"/>
      <c r="C5" s="85"/>
      <c r="D5" s="85"/>
      <c r="E5" s="85"/>
      <c r="F5" s="85"/>
      <c r="G5" s="85"/>
      <c r="H5" s="85"/>
      <c r="I5" s="86"/>
      <c r="K5" s="5"/>
    </row>
    <row r="6" spans="1:11" ht="40" customHeight="1">
      <c r="A6" s="87"/>
      <c r="B6" s="88"/>
      <c r="C6" s="88"/>
      <c r="D6" s="88"/>
      <c r="E6" s="88"/>
      <c r="F6" s="88"/>
      <c r="G6" s="88"/>
      <c r="H6" s="88"/>
      <c r="I6" s="89"/>
      <c r="K6" s="5"/>
    </row>
    <row r="7" spans="1:11" ht="40" customHeight="1">
      <c r="A7" s="87"/>
      <c r="B7" s="88"/>
      <c r="C7" s="88"/>
      <c r="D7" s="88"/>
      <c r="E7" s="88"/>
      <c r="F7" s="88"/>
      <c r="G7" s="88"/>
      <c r="H7" s="88"/>
      <c r="I7" s="89"/>
      <c r="J7" s="9" t="s">
        <v>2</v>
      </c>
      <c r="K7" s="5"/>
    </row>
    <row r="8" spans="1:11" ht="29.25" customHeight="1">
      <c r="A8" s="90" t="s">
        <v>3</v>
      </c>
      <c r="B8" s="91"/>
      <c r="C8" s="91"/>
      <c r="D8" s="91"/>
      <c r="E8" s="91"/>
      <c r="F8" s="91"/>
      <c r="G8" s="91"/>
      <c r="H8" s="91"/>
      <c r="I8" s="92"/>
      <c r="J8" s="9" t="s">
        <v>4</v>
      </c>
      <c r="K8" s="5"/>
    </row>
    <row r="9" spans="1:11" ht="25.5" customHeight="1">
      <c r="A9" s="10" t="s">
        <v>5</v>
      </c>
      <c r="B9" s="11" t="e">
        <f>"일금"&amp;NUMBERSTRING(B10,1)&amp;"원정"</f>
        <v>#N/A</v>
      </c>
      <c r="C9" s="11"/>
      <c r="D9" s="11"/>
      <c r="E9" s="12"/>
      <c r="F9" s="13"/>
      <c r="G9" s="11"/>
      <c r="H9" s="14"/>
      <c r="I9" s="15"/>
      <c r="J9" s="9" t="s">
        <v>6</v>
      </c>
      <c r="K9" s="5"/>
    </row>
    <row r="10" spans="1:11" ht="25.5" customHeight="1">
      <c r="A10" s="16" t="s">
        <v>7</v>
      </c>
      <c r="B10" s="93">
        <f>H23</f>
        <v>850000</v>
      </c>
      <c r="C10" s="93"/>
      <c r="D10" s="93"/>
      <c r="E10" s="12" t="s">
        <v>8</v>
      </c>
      <c r="F10" s="94" t="s">
        <v>9</v>
      </c>
      <c r="G10" s="94"/>
      <c r="H10" s="94"/>
      <c r="I10" s="15"/>
      <c r="J10" s="9"/>
      <c r="K10" s="5"/>
    </row>
    <row r="11" spans="1:11" ht="20" customHeight="1">
      <c r="A11" s="90" t="s">
        <v>10</v>
      </c>
      <c r="B11" s="91"/>
      <c r="C11" s="91"/>
      <c r="D11" s="91"/>
      <c r="E11" s="91"/>
      <c r="F11" s="91"/>
      <c r="G11" s="91"/>
      <c r="H11" s="91"/>
      <c r="I11" s="92"/>
      <c r="J11" s="9" t="s">
        <v>11</v>
      </c>
      <c r="K11" s="5"/>
    </row>
    <row r="12" spans="1:11" ht="24" customHeight="1">
      <c r="A12" s="95" t="s">
        <v>12</v>
      </c>
      <c r="B12" s="96"/>
      <c r="C12" s="17" t="s">
        <v>13</v>
      </c>
      <c r="D12" s="17" t="s">
        <v>14</v>
      </c>
      <c r="E12" s="78" t="s">
        <v>15</v>
      </c>
      <c r="F12" s="79"/>
      <c r="G12" s="17" t="s">
        <v>16</v>
      </c>
      <c r="H12" s="17" t="s">
        <v>17</v>
      </c>
      <c r="I12" s="18" t="s">
        <v>18</v>
      </c>
      <c r="J12" s="9" t="s">
        <v>19</v>
      </c>
      <c r="K12" s="5"/>
    </row>
    <row r="13" spans="1:11" ht="24" customHeight="1">
      <c r="A13" s="95" t="s">
        <v>20</v>
      </c>
      <c r="B13" s="96"/>
      <c r="C13" s="17"/>
      <c r="D13" s="17" t="s">
        <v>21</v>
      </c>
      <c r="E13" s="78">
        <v>1</v>
      </c>
      <c r="F13" s="79"/>
      <c r="G13" s="19">
        <v>850000</v>
      </c>
      <c r="H13" s="20">
        <f>E13*G13</f>
        <v>850000</v>
      </c>
      <c r="I13" s="21"/>
      <c r="K13" s="5"/>
    </row>
    <row r="14" spans="1:11" ht="24" customHeight="1">
      <c r="A14" s="76"/>
      <c r="B14" s="77"/>
      <c r="C14" s="17"/>
      <c r="D14" s="17"/>
      <c r="E14" s="78"/>
      <c r="F14" s="79"/>
      <c r="G14" s="19"/>
      <c r="H14" s="20"/>
      <c r="I14" s="21"/>
      <c r="K14" s="5"/>
    </row>
    <row r="15" spans="1:11" ht="24" customHeight="1">
      <c r="A15" s="76"/>
      <c r="B15" s="77"/>
      <c r="C15" s="17"/>
      <c r="D15" s="17"/>
      <c r="E15" s="78"/>
      <c r="F15" s="79"/>
      <c r="G15" s="19"/>
      <c r="H15" s="20"/>
      <c r="I15" s="21"/>
      <c r="K15" s="5"/>
    </row>
    <row r="16" spans="1:11" ht="24" customHeight="1">
      <c r="A16" s="76"/>
      <c r="B16" s="77"/>
      <c r="C16" s="17"/>
      <c r="D16" s="17"/>
      <c r="E16" s="78"/>
      <c r="F16" s="79"/>
      <c r="G16" s="19"/>
      <c r="H16" s="20"/>
      <c r="I16" s="21"/>
      <c r="K16" s="5"/>
    </row>
    <row r="17" spans="1:11" ht="24" customHeight="1">
      <c r="A17" s="76"/>
      <c r="B17" s="77"/>
      <c r="C17" s="17"/>
      <c r="D17" s="17"/>
      <c r="E17" s="78"/>
      <c r="F17" s="79"/>
      <c r="G17" s="19"/>
      <c r="H17" s="20"/>
      <c r="I17" s="21"/>
      <c r="K17" s="5"/>
    </row>
    <row r="18" spans="1:11" ht="24" customHeight="1">
      <c r="A18" s="76"/>
      <c r="B18" s="77"/>
      <c r="C18" s="17"/>
      <c r="D18" s="17"/>
      <c r="E18" s="78"/>
      <c r="F18" s="79"/>
      <c r="G18" s="19"/>
      <c r="H18" s="20"/>
      <c r="I18" s="21"/>
      <c r="K18" s="5"/>
    </row>
    <row r="19" spans="1:11" ht="24" customHeight="1">
      <c r="A19" s="76"/>
      <c r="B19" s="77"/>
      <c r="C19" s="22"/>
      <c r="D19" s="17"/>
      <c r="E19" s="78"/>
      <c r="F19" s="79"/>
      <c r="G19" s="19"/>
      <c r="H19" s="20"/>
      <c r="I19" s="21"/>
      <c r="K19" s="5"/>
    </row>
    <row r="20" spans="1:11" ht="24" customHeight="1">
      <c r="A20" s="76"/>
      <c r="B20" s="77"/>
      <c r="C20" s="22"/>
      <c r="D20" s="17"/>
      <c r="E20" s="97"/>
      <c r="F20" s="96"/>
      <c r="G20" s="23"/>
      <c r="H20" s="20"/>
      <c r="I20" s="21"/>
      <c r="K20" s="5"/>
    </row>
    <row r="21" spans="1:11" ht="24" customHeight="1">
      <c r="A21" s="76"/>
      <c r="B21" s="77"/>
      <c r="C21" s="17"/>
      <c r="D21" s="17"/>
      <c r="E21" s="97"/>
      <c r="F21" s="96"/>
      <c r="G21" s="24"/>
      <c r="H21" s="20"/>
      <c r="I21" s="21"/>
      <c r="K21" s="5"/>
    </row>
    <row r="22" spans="1:11" ht="24" customHeight="1">
      <c r="A22" s="76"/>
      <c r="B22" s="77"/>
      <c r="C22" s="17"/>
      <c r="D22" s="17"/>
      <c r="E22" s="97"/>
      <c r="F22" s="96"/>
      <c r="G22" s="24"/>
      <c r="H22" s="20"/>
      <c r="I22" s="21"/>
      <c r="K22" s="5"/>
    </row>
    <row r="23" spans="1:11" ht="24" customHeight="1">
      <c r="A23" s="98" t="s">
        <v>22</v>
      </c>
      <c r="B23" s="99"/>
      <c r="C23" s="26"/>
      <c r="D23" s="26"/>
      <c r="E23" s="27"/>
      <c r="F23" s="25"/>
      <c r="G23" s="28"/>
      <c r="H23" s="29">
        <f>SUM(H13:H22)</f>
        <v>850000</v>
      </c>
      <c r="I23" s="30"/>
      <c r="K23" s="5"/>
    </row>
    <row r="24" spans="1:11" ht="24" customHeight="1">
      <c r="A24" s="76"/>
      <c r="B24" s="77"/>
      <c r="C24" s="22"/>
      <c r="D24" s="17"/>
      <c r="E24" s="97"/>
      <c r="F24" s="96"/>
      <c r="G24" s="24"/>
      <c r="H24" s="20"/>
      <c r="I24" s="21"/>
      <c r="K24" s="5"/>
    </row>
    <row r="25" spans="1:11" ht="24" customHeight="1">
      <c r="A25" s="109"/>
      <c r="B25" s="108"/>
      <c r="C25" s="32"/>
      <c r="D25" s="32"/>
      <c r="E25" s="97"/>
      <c r="F25" s="96"/>
      <c r="G25" s="32"/>
      <c r="H25" s="33"/>
      <c r="I25" s="21"/>
      <c r="K25" s="5"/>
    </row>
    <row r="26" spans="1:11" ht="20" customHeight="1">
      <c r="A26" s="110" t="s">
        <v>23</v>
      </c>
      <c r="B26" s="111"/>
      <c r="C26" s="111"/>
      <c r="D26" s="111"/>
      <c r="E26" s="111"/>
      <c r="F26" s="111"/>
      <c r="G26" s="111"/>
      <c r="H26" s="111"/>
      <c r="I26" s="112"/>
      <c r="K26" s="5"/>
    </row>
    <row r="27" spans="1:11" ht="20" customHeight="1">
      <c r="A27" s="100" t="s">
        <v>24</v>
      </c>
      <c r="B27" s="101"/>
      <c r="C27" s="101"/>
      <c r="D27" s="101"/>
      <c r="E27" s="101"/>
      <c r="F27" s="101"/>
      <c r="G27" s="101"/>
      <c r="H27" s="101"/>
      <c r="I27" s="102"/>
      <c r="K27" s="5"/>
    </row>
    <row r="28" spans="1:11" ht="20" customHeight="1">
      <c r="A28" s="100" t="s">
        <v>25</v>
      </c>
      <c r="B28" s="101"/>
      <c r="C28" s="101"/>
      <c r="D28" s="101"/>
      <c r="E28" s="101"/>
      <c r="F28" s="101"/>
      <c r="G28" s="101"/>
      <c r="H28" s="101"/>
      <c r="I28" s="102"/>
      <c r="J28" s="34"/>
      <c r="K28" s="5"/>
    </row>
    <row r="29" spans="1:11" ht="20" customHeight="1">
      <c r="A29" s="100" t="s">
        <v>26</v>
      </c>
      <c r="B29" s="101"/>
      <c r="C29" s="101"/>
      <c r="D29" s="101"/>
      <c r="E29" s="101"/>
      <c r="F29" s="101"/>
      <c r="G29" s="101"/>
      <c r="H29" s="101"/>
      <c r="I29" s="102"/>
      <c r="J29" s="34"/>
      <c r="K29" s="5"/>
    </row>
    <row r="30" spans="1:11" ht="20" customHeight="1" thickBot="1">
      <c r="A30" s="103"/>
      <c r="B30" s="104"/>
      <c r="C30" s="104"/>
      <c r="D30" s="104"/>
      <c r="E30" s="104"/>
      <c r="F30" s="104"/>
      <c r="G30" s="104"/>
      <c r="H30" s="104"/>
      <c r="I30" s="105"/>
      <c r="J30" s="35"/>
      <c r="K30" s="5"/>
    </row>
    <row r="31" spans="1:11" ht="17">
      <c r="A31" s="106" t="s">
        <v>27</v>
      </c>
      <c r="B31" s="106"/>
      <c r="C31" s="107"/>
      <c r="D31" s="107"/>
      <c r="E31" s="107"/>
      <c r="F31" s="107"/>
      <c r="G31" s="107"/>
      <c r="H31" s="107"/>
      <c r="I31" s="107"/>
    </row>
  </sheetData>
  <mergeCells count="40">
    <mergeCell ref="A28:I28"/>
    <mergeCell ref="A29:I29"/>
    <mergeCell ref="A30:I30"/>
    <mergeCell ref="A31:I31"/>
    <mergeCell ref="A25:B25"/>
    <mergeCell ref="E25:F25"/>
    <mergeCell ref="A26:I26"/>
    <mergeCell ref="A27:I27"/>
    <mergeCell ref="A24:B24"/>
    <mergeCell ref="E24:F24"/>
    <mergeCell ref="A18:B18"/>
    <mergeCell ref="E18:F18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A15:B15"/>
    <mergeCell ref="E15:F15"/>
    <mergeCell ref="A16:B16"/>
    <mergeCell ref="E16:F16"/>
    <mergeCell ref="A17:B17"/>
    <mergeCell ref="E17:F17"/>
    <mergeCell ref="A14:B14"/>
    <mergeCell ref="E14:F14"/>
    <mergeCell ref="A3:I3"/>
    <mergeCell ref="A5:I5"/>
    <mergeCell ref="A6:I7"/>
    <mergeCell ref="A8:I8"/>
    <mergeCell ref="B10:D10"/>
    <mergeCell ref="F10:H10"/>
    <mergeCell ref="A11:I11"/>
    <mergeCell ref="A12:B12"/>
    <mergeCell ref="E12:F12"/>
    <mergeCell ref="A13:B13"/>
    <mergeCell ref="E13:F1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/>
  <colBreaks count="1" manualBreakCount="1">
    <brk id="10" max="31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8612-7C2D-C948-8C45-1B8CF07D5A5E}">
  <sheetPr>
    <tabColor rgb="FF00B0F0"/>
  </sheetPr>
  <dimension ref="A1:G81"/>
  <sheetViews>
    <sheetView tabSelected="1" view="pageBreakPreview" zoomScaleNormal="100" zoomScaleSheetLayoutView="100" workbookViewId="0">
      <selection activeCell="J22" sqref="J22"/>
    </sheetView>
  </sheetViews>
  <sheetFormatPr baseColWidth="10" defaultColWidth="8.83203125" defaultRowHeight="14"/>
  <cols>
    <col min="1" max="1" width="18.6640625" style="1" customWidth="1"/>
    <col min="2" max="2" width="11" style="1" customWidth="1"/>
    <col min="3" max="3" width="9" style="1" customWidth="1"/>
    <col min="4" max="4" width="8.5" style="1" customWidth="1"/>
    <col min="5" max="5" width="10.6640625" style="1" customWidth="1"/>
    <col min="6" max="6" width="15.1640625" style="3" customWidth="1"/>
    <col min="7" max="7" width="6.1640625" style="1" customWidth="1"/>
    <col min="8" max="256" width="8.83203125" style="1"/>
    <col min="257" max="257" width="18.6640625" style="1" customWidth="1"/>
    <col min="258" max="258" width="11" style="1" customWidth="1"/>
    <col min="259" max="259" width="9" style="1" customWidth="1"/>
    <col min="260" max="260" width="8.5" style="1" customWidth="1"/>
    <col min="261" max="261" width="10.6640625" style="1" customWidth="1"/>
    <col min="262" max="262" width="15.1640625" style="1" customWidth="1"/>
    <col min="263" max="263" width="6.1640625" style="1" customWidth="1"/>
    <col min="264" max="512" width="8.83203125" style="1"/>
    <col min="513" max="513" width="18.6640625" style="1" customWidth="1"/>
    <col min="514" max="514" width="11" style="1" customWidth="1"/>
    <col min="515" max="515" width="9" style="1" customWidth="1"/>
    <col min="516" max="516" width="8.5" style="1" customWidth="1"/>
    <col min="517" max="517" width="10.6640625" style="1" customWidth="1"/>
    <col min="518" max="518" width="15.1640625" style="1" customWidth="1"/>
    <col min="519" max="519" width="6.1640625" style="1" customWidth="1"/>
    <col min="520" max="768" width="8.83203125" style="1"/>
    <col min="769" max="769" width="18.6640625" style="1" customWidth="1"/>
    <col min="770" max="770" width="11" style="1" customWidth="1"/>
    <col min="771" max="771" width="9" style="1" customWidth="1"/>
    <col min="772" max="772" width="8.5" style="1" customWidth="1"/>
    <col min="773" max="773" width="10.6640625" style="1" customWidth="1"/>
    <col min="774" max="774" width="15.1640625" style="1" customWidth="1"/>
    <col min="775" max="775" width="6.1640625" style="1" customWidth="1"/>
    <col min="776" max="1024" width="8.83203125" style="1"/>
    <col min="1025" max="1025" width="18.6640625" style="1" customWidth="1"/>
    <col min="1026" max="1026" width="11" style="1" customWidth="1"/>
    <col min="1027" max="1027" width="9" style="1" customWidth="1"/>
    <col min="1028" max="1028" width="8.5" style="1" customWidth="1"/>
    <col min="1029" max="1029" width="10.6640625" style="1" customWidth="1"/>
    <col min="1030" max="1030" width="15.1640625" style="1" customWidth="1"/>
    <col min="1031" max="1031" width="6.1640625" style="1" customWidth="1"/>
    <col min="1032" max="1280" width="8.83203125" style="1"/>
    <col min="1281" max="1281" width="18.6640625" style="1" customWidth="1"/>
    <col min="1282" max="1282" width="11" style="1" customWidth="1"/>
    <col min="1283" max="1283" width="9" style="1" customWidth="1"/>
    <col min="1284" max="1284" width="8.5" style="1" customWidth="1"/>
    <col min="1285" max="1285" width="10.6640625" style="1" customWidth="1"/>
    <col min="1286" max="1286" width="15.1640625" style="1" customWidth="1"/>
    <col min="1287" max="1287" width="6.1640625" style="1" customWidth="1"/>
    <col min="1288" max="1536" width="8.83203125" style="1"/>
    <col min="1537" max="1537" width="18.6640625" style="1" customWidth="1"/>
    <col min="1538" max="1538" width="11" style="1" customWidth="1"/>
    <col min="1539" max="1539" width="9" style="1" customWidth="1"/>
    <col min="1540" max="1540" width="8.5" style="1" customWidth="1"/>
    <col min="1541" max="1541" width="10.6640625" style="1" customWidth="1"/>
    <col min="1542" max="1542" width="15.1640625" style="1" customWidth="1"/>
    <col min="1543" max="1543" width="6.1640625" style="1" customWidth="1"/>
    <col min="1544" max="1792" width="8.83203125" style="1"/>
    <col min="1793" max="1793" width="18.6640625" style="1" customWidth="1"/>
    <col min="1794" max="1794" width="11" style="1" customWidth="1"/>
    <col min="1795" max="1795" width="9" style="1" customWidth="1"/>
    <col min="1796" max="1796" width="8.5" style="1" customWidth="1"/>
    <col min="1797" max="1797" width="10.6640625" style="1" customWidth="1"/>
    <col min="1798" max="1798" width="15.1640625" style="1" customWidth="1"/>
    <col min="1799" max="1799" width="6.1640625" style="1" customWidth="1"/>
    <col min="1800" max="2048" width="8.83203125" style="1"/>
    <col min="2049" max="2049" width="18.6640625" style="1" customWidth="1"/>
    <col min="2050" max="2050" width="11" style="1" customWidth="1"/>
    <col min="2051" max="2051" width="9" style="1" customWidth="1"/>
    <col min="2052" max="2052" width="8.5" style="1" customWidth="1"/>
    <col min="2053" max="2053" width="10.6640625" style="1" customWidth="1"/>
    <col min="2054" max="2054" width="15.1640625" style="1" customWidth="1"/>
    <col min="2055" max="2055" width="6.1640625" style="1" customWidth="1"/>
    <col min="2056" max="2304" width="8.83203125" style="1"/>
    <col min="2305" max="2305" width="18.6640625" style="1" customWidth="1"/>
    <col min="2306" max="2306" width="11" style="1" customWidth="1"/>
    <col min="2307" max="2307" width="9" style="1" customWidth="1"/>
    <col min="2308" max="2308" width="8.5" style="1" customWidth="1"/>
    <col min="2309" max="2309" width="10.6640625" style="1" customWidth="1"/>
    <col min="2310" max="2310" width="15.1640625" style="1" customWidth="1"/>
    <col min="2311" max="2311" width="6.1640625" style="1" customWidth="1"/>
    <col min="2312" max="2560" width="8.83203125" style="1"/>
    <col min="2561" max="2561" width="18.6640625" style="1" customWidth="1"/>
    <col min="2562" max="2562" width="11" style="1" customWidth="1"/>
    <col min="2563" max="2563" width="9" style="1" customWidth="1"/>
    <col min="2564" max="2564" width="8.5" style="1" customWidth="1"/>
    <col min="2565" max="2565" width="10.6640625" style="1" customWidth="1"/>
    <col min="2566" max="2566" width="15.1640625" style="1" customWidth="1"/>
    <col min="2567" max="2567" width="6.1640625" style="1" customWidth="1"/>
    <col min="2568" max="2816" width="8.83203125" style="1"/>
    <col min="2817" max="2817" width="18.6640625" style="1" customWidth="1"/>
    <col min="2818" max="2818" width="11" style="1" customWidth="1"/>
    <col min="2819" max="2819" width="9" style="1" customWidth="1"/>
    <col min="2820" max="2820" width="8.5" style="1" customWidth="1"/>
    <col min="2821" max="2821" width="10.6640625" style="1" customWidth="1"/>
    <col min="2822" max="2822" width="15.1640625" style="1" customWidth="1"/>
    <col min="2823" max="2823" width="6.1640625" style="1" customWidth="1"/>
    <col min="2824" max="3072" width="8.83203125" style="1"/>
    <col min="3073" max="3073" width="18.6640625" style="1" customWidth="1"/>
    <col min="3074" max="3074" width="11" style="1" customWidth="1"/>
    <col min="3075" max="3075" width="9" style="1" customWidth="1"/>
    <col min="3076" max="3076" width="8.5" style="1" customWidth="1"/>
    <col min="3077" max="3077" width="10.6640625" style="1" customWidth="1"/>
    <col min="3078" max="3078" width="15.1640625" style="1" customWidth="1"/>
    <col min="3079" max="3079" width="6.1640625" style="1" customWidth="1"/>
    <col min="3080" max="3328" width="8.83203125" style="1"/>
    <col min="3329" max="3329" width="18.6640625" style="1" customWidth="1"/>
    <col min="3330" max="3330" width="11" style="1" customWidth="1"/>
    <col min="3331" max="3331" width="9" style="1" customWidth="1"/>
    <col min="3332" max="3332" width="8.5" style="1" customWidth="1"/>
    <col min="3333" max="3333" width="10.6640625" style="1" customWidth="1"/>
    <col min="3334" max="3334" width="15.1640625" style="1" customWidth="1"/>
    <col min="3335" max="3335" width="6.1640625" style="1" customWidth="1"/>
    <col min="3336" max="3584" width="8.83203125" style="1"/>
    <col min="3585" max="3585" width="18.6640625" style="1" customWidth="1"/>
    <col min="3586" max="3586" width="11" style="1" customWidth="1"/>
    <col min="3587" max="3587" width="9" style="1" customWidth="1"/>
    <col min="3588" max="3588" width="8.5" style="1" customWidth="1"/>
    <col min="3589" max="3589" width="10.6640625" style="1" customWidth="1"/>
    <col min="3590" max="3590" width="15.1640625" style="1" customWidth="1"/>
    <col min="3591" max="3591" width="6.1640625" style="1" customWidth="1"/>
    <col min="3592" max="3840" width="8.83203125" style="1"/>
    <col min="3841" max="3841" width="18.6640625" style="1" customWidth="1"/>
    <col min="3842" max="3842" width="11" style="1" customWidth="1"/>
    <col min="3843" max="3843" width="9" style="1" customWidth="1"/>
    <col min="3844" max="3844" width="8.5" style="1" customWidth="1"/>
    <col min="3845" max="3845" width="10.6640625" style="1" customWidth="1"/>
    <col min="3846" max="3846" width="15.1640625" style="1" customWidth="1"/>
    <col min="3847" max="3847" width="6.1640625" style="1" customWidth="1"/>
    <col min="3848" max="4096" width="8.83203125" style="1"/>
    <col min="4097" max="4097" width="18.6640625" style="1" customWidth="1"/>
    <col min="4098" max="4098" width="11" style="1" customWidth="1"/>
    <col min="4099" max="4099" width="9" style="1" customWidth="1"/>
    <col min="4100" max="4100" width="8.5" style="1" customWidth="1"/>
    <col min="4101" max="4101" width="10.6640625" style="1" customWidth="1"/>
    <col min="4102" max="4102" width="15.1640625" style="1" customWidth="1"/>
    <col min="4103" max="4103" width="6.1640625" style="1" customWidth="1"/>
    <col min="4104" max="4352" width="8.83203125" style="1"/>
    <col min="4353" max="4353" width="18.6640625" style="1" customWidth="1"/>
    <col min="4354" max="4354" width="11" style="1" customWidth="1"/>
    <col min="4355" max="4355" width="9" style="1" customWidth="1"/>
    <col min="4356" max="4356" width="8.5" style="1" customWidth="1"/>
    <col min="4357" max="4357" width="10.6640625" style="1" customWidth="1"/>
    <col min="4358" max="4358" width="15.1640625" style="1" customWidth="1"/>
    <col min="4359" max="4359" width="6.1640625" style="1" customWidth="1"/>
    <col min="4360" max="4608" width="8.83203125" style="1"/>
    <col min="4609" max="4609" width="18.6640625" style="1" customWidth="1"/>
    <col min="4610" max="4610" width="11" style="1" customWidth="1"/>
    <col min="4611" max="4611" width="9" style="1" customWidth="1"/>
    <col min="4612" max="4612" width="8.5" style="1" customWidth="1"/>
    <col min="4613" max="4613" width="10.6640625" style="1" customWidth="1"/>
    <col min="4614" max="4614" width="15.1640625" style="1" customWidth="1"/>
    <col min="4615" max="4615" width="6.1640625" style="1" customWidth="1"/>
    <col min="4616" max="4864" width="8.83203125" style="1"/>
    <col min="4865" max="4865" width="18.6640625" style="1" customWidth="1"/>
    <col min="4866" max="4866" width="11" style="1" customWidth="1"/>
    <col min="4867" max="4867" width="9" style="1" customWidth="1"/>
    <col min="4868" max="4868" width="8.5" style="1" customWidth="1"/>
    <col min="4869" max="4869" width="10.6640625" style="1" customWidth="1"/>
    <col min="4870" max="4870" width="15.1640625" style="1" customWidth="1"/>
    <col min="4871" max="4871" width="6.1640625" style="1" customWidth="1"/>
    <col min="4872" max="5120" width="8.83203125" style="1"/>
    <col min="5121" max="5121" width="18.6640625" style="1" customWidth="1"/>
    <col min="5122" max="5122" width="11" style="1" customWidth="1"/>
    <col min="5123" max="5123" width="9" style="1" customWidth="1"/>
    <col min="5124" max="5124" width="8.5" style="1" customWidth="1"/>
    <col min="5125" max="5125" width="10.6640625" style="1" customWidth="1"/>
    <col min="5126" max="5126" width="15.1640625" style="1" customWidth="1"/>
    <col min="5127" max="5127" width="6.1640625" style="1" customWidth="1"/>
    <col min="5128" max="5376" width="8.83203125" style="1"/>
    <col min="5377" max="5377" width="18.6640625" style="1" customWidth="1"/>
    <col min="5378" max="5378" width="11" style="1" customWidth="1"/>
    <col min="5379" max="5379" width="9" style="1" customWidth="1"/>
    <col min="5380" max="5380" width="8.5" style="1" customWidth="1"/>
    <col min="5381" max="5381" width="10.6640625" style="1" customWidth="1"/>
    <col min="5382" max="5382" width="15.1640625" style="1" customWidth="1"/>
    <col min="5383" max="5383" width="6.1640625" style="1" customWidth="1"/>
    <col min="5384" max="5632" width="8.83203125" style="1"/>
    <col min="5633" max="5633" width="18.6640625" style="1" customWidth="1"/>
    <col min="5634" max="5634" width="11" style="1" customWidth="1"/>
    <col min="5635" max="5635" width="9" style="1" customWidth="1"/>
    <col min="5636" max="5636" width="8.5" style="1" customWidth="1"/>
    <col min="5637" max="5637" width="10.6640625" style="1" customWidth="1"/>
    <col min="5638" max="5638" width="15.1640625" style="1" customWidth="1"/>
    <col min="5639" max="5639" width="6.1640625" style="1" customWidth="1"/>
    <col min="5640" max="5888" width="8.83203125" style="1"/>
    <col min="5889" max="5889" width="18.6640625" style="1" customWidth="1"/>
    <col min="5890" max="5890" width="11" style="1" customWidth="1"/>
    <col min="5891" max="5891" width="9" style="1" customWidth="1"/>
    <col min="5892" max="5892" width="8.5" style="1" customWidth="1"/>
    <col min="5893" max="5893" width="10.6640625" style="1" customWidth="1"/>
    <col min="5894" max="5894" width="15.1640625" style="1" customWidth="1"/>
    <col min="5895" max="5895" width="6.1640625" style="1" customWidth="1"/>
    <col min="5896" max="6144" width="8.83203125" style="1"/>
    <col min="6145" max="6145" width="18.6640625" style="1" customWidth="1"/>
    <col min="6146" max="6146" width="11" style="1" customWidth="1"/>
    <col min="6147" max="6147" width="9" style="1" customWidth="1"/>
    <col min="6148" max="6148" width="8.5" style="1" customWidth="1"/>
    <col min="6149" max="6149" width="10.6640625" style="1" customWidth="1"/>
    <col min="6150" max="6150" width="15.1640625" style="1" customWidth="1"/>
    <col min="6151" max="6151" width="6.1640625" style="1" customWidth="1"/>
    <col min="6152" max="6400" width="8.83203125" style="1"/>
    <col min="6401" max="6401" width="18.6640625" style="1" customWidth="1"/>
    <col min="6402" max="6402" width="11" style="1" customWidth="1"/>
    <col min="6403" max="6403" width="9" style="1" customWidth="1"/>
    <col min="6404" max="6404" width="8.5" style="1" customWidth="1"/>
    <col min="6405" max="6405" width="10.6640625" style="1" customWidth="1"/>
    <col min="6406" max="6406" width="15.1640625" style="1" customWidth="1"/>
    <col min="6407" max="6407" width="6.1640625" style="1" customWidth="1"/>
    <col min="6408" max="6656" width="8.83203125" style="1"/>
    <col min="6657" max="6657" width="18.6640625" style="1" customWidth="1"/>
    <col min="6658" max="6658" width="11" style="1" customWidth="1"/>
    <col min="6659" max="6659" width="9" style="1" customWidth="1"/>
    <col min="6660" max="6660" width="8.5" style="1" customWidth="1"/>
    <col min="6661" max="6661" width="10.6640625" style="1" customWidth="1"/>
    <col min="6662" max="6662" width="15.1640625" style="1" customWidth="1"/>
    <col min="6663" max="6663" width="6.1640625" style="1" customWidth="1"/>
    <col min="6664" max="6912" width="8.83203125" style="1"/>
    <col min="6913" max="6913" width="18.6640625" style="1" customWidth="1"/>
    <col min="6914" max="6914" width="11" style="1" customWidth="1"/>
    <col min="6915" max="6915" width="9" style="1" customWidth="1"/>
    <col min="6916" max="6916" width="8.5" style="1" customWidth="1"/>
    <col min="6917" max="6917" width="10.6640625" style="1" customWidth="1"/>
    <col min="6918" max="6918" width="15.1640625" style="1" customWidth="1"/>
    <col min="6919" max="6919" width="6.1640625" style="1" customWidth="1"/>
    <col min="6920" max="7168" width="8.83203125" style="1"/>
    <col min="7169" max="7169" width="18.6640625" style="1" customWidth="1"/>
    <col min="7170" max="7170" width="11" style="1" customWidth="1"/>
    <col min="7171" max="7171" width="9" style="1" customWidth="1"/>
    <col min="7172" max="7172" width="8.5" style="1" customWidth="1"/>
    <col min="7173" max="7173" width="10.6640625" style="1" customWidth="1"/>
    <col min="7174" max="7174" width="15.1640625" style="1" customWidth="1"/>
    <col min="7175" max="7175" width="6.1640625" style="1" customWidth="1"/>
    <col min="7176" max="7424" width="8.83203125" style="1"/>
    <col min="7425" max="7425" width="18.6640625" style="1" customWidth="1"/>
    <col min="7426" max="7426" width="11" style="1" customWidth="1"/>
    <col min="7427" max="7427" width="9" style="1" customWidth="1"/>
    <col min="7428" max="7428" width="8.5" style="1" customWidth="1"/>
    <col min="7429" max="7429" width="10.6640625" style="1" customWidth="1"/>
    <col min="7430" max="7430" width="15.1640625" style="1" customWidth="1"/>
    <col min="7431" max="7431" width="6.1640625" style="1" customWidth="1"/>
    <col min="7432" max="7680" width="8.83203125" style="1"/>
    <col min="7681" max="7681" width="18.6640625" style="1" customWidth="1"/>
    <col min="7682" max="7682" width="11" style="1" customWidth="1"/>
    <col min="7683" max="7683" width="9" style="1" customWidth="1"/>
    <col min="7684" max="7684" width="8.5" style="1" customWidth="1"/>
    <col min="7685" max="7685" width="10.6640625" style="1" customWidth="1"/>
    <col min="7686" max="7686" width="15.1640625" style="1" customWidth="1"/>
    <col min="7687" max="7687" width="6.1640625" style="1" customWidth="1"/>
    <col min="7688" max="7936" width="8.83203125" style="1"/>
    <col min="7937" max="7937" width="18.6640625" style="1" customWidth="1"/>
    <col min="7938" max="7938" width="11" style="1" customWidth="1"/>
    <col min="7939" max="7939" width="9" style="1" customWidth="1"/>
    <col min="7940" max="7940" width="8.5" style="1" customWidth="1"/>
    <col min="7941" max="7941" width="10.6640625" style="1" customWidth="1"/>
    <col min="7942" max="7942" width="15.1640625" style="1" customWidth="1"/>
    <col min="7943" max="7943" width="6.1640625" style="1" customWidth="1"/>
    <col min="7944" max="8192" width="8.83203125" style="1"/>
    <col min="8193" max="8193" width="18.6640625" style="1" customWidth="1"/>
    <col min="8194" max="8194" width="11" style="1" customWidth="1"/>
    <col min="8195" max="8195" width="9" style="1" customWidth="1"/>
    <col min="8196" max="8196" width="8.5" style="1" customWidth="1"/>
    <col min="8197" max="8197" width="10.6640625" style="1" customWidth="1"/>
    <col min="8198" max="8198" width="15.1640625" style="1" customWidth="1"/>
    <col min="8199" max="8199" width="6.1640625" style="1" customWidth="1"/>
    <col min="8200" max="8448" width="8.83203125" style="1"/>
    <col min="8449" max="8449" width="18.6640625" style="1" customWidth="1"/>
    <col min="8450" max="8450" width="11" style="1" customWidth="1"/>
    <col min="8451" max="8451" width="9" style="1" customWidth="1"/>
    <col min="8452" max="8452" width="8.5" style="1" customWidth="1"/>
    <col min="8453" max="8453" width="10.6640625" style="1" customWidth="1"/>
    <col min="8454" max="8454" width="15.1640625" style="1" customWidth="1"/>
    <col min="8455" max="8455" width="6.1640625" style="1" customWidth="1"/>
    <col min="8456" max="8704" width="8.83203125" style="1"/>
    <col min="8705" max="8705" width="18.6640625" style="1" customWidth="1"/>
    <col min="8706" max="8706" width="11" style="1" customWidth="1"/>
    <col min="8707" max="8707" width="9" style="1" customWidth="1"/>
    <col min="8708" max="8708" width="8.5" style="1" customWidth="1"/>
    <col min="8709" max="8709" width="10.6640625" style="1" customWidth="1"/>
    <col min="8710" max="8710" width="15.1640625" style="1" customWidth="1"/>
    <col min="8711" max="8711" width="6.1640625" style="1" customWidth="1"/>
    <col min="8712" max="8960" width="8.83203125" style="1"/>
    <col min="8961" max="8961" width="18.6640625" style="1" customWidth="1"/>
    <col min="8962" max="8962" width="11" style="1" customWidth="1"/>
    <col min="8963" max="8963" width="9" style="1" customWidth="1"/>
    <col min="8964" max="8964" width="8.5" style="1" customWidth="1"/>
    <col min="8965" max="8965" width="10.6640625" style="1" customWidth="1"/>
    <col min="8966" max="8966" width="15.1640625" style="1" customWidth="1"/>
    <col min="8967" max="8967" width="6.1640625" style="1" customWidth="1"/>
    <col min="8968" max="9216" width="8.83203125" style="1"/>
    <col min="9217" max="9217" width="18.6640625" style="1" customWidth="1"/>
    <col min="9218" max="9218" width="11" style="1" customWidth="1"/>
    <col min="9219" max="9219" width="9" style="1" customWidth="1"/>
    <col min="9220" max="9220" width="8.5" style="1" customWidth="1"/>
    <col min="9221" max="9221" width="10.6640625" style="1" customWidth="1"/>
    <col min="9222" max="9222" width="15.1640625" style="1" customWidth="1"/>
    <col min="9223" max="9223" width="6.1640625" style="1" customWidth="1"/>
    <col min="9224" max="9472" width="8.83203125" style="1"/>
    <col min="9473" max="9473" width="18.6640625" style="1" customWidth="1"/>
    <col min="9474" max="9474" width="11" style="1" customWidth="1"/>
    <col min="9475" max="9475" width="9" style="1" customWidth="1"/>
    <col min="9476" max="9476" width="8.5" style="1" customWidth="1"/>
    <col min="9477" max="9477" width="10.6640625" style="1" customWidth="1"/>
    <col min="9478" max="9478" width="15.1640625" style="1" customWidth="1"/>
    <col min="9479" max="9479" width="6.1640625" style="1" customWidth="1"/>
    <col min="9480" max="9728" width="8.83203125" style="1"/>
    <col min="9729" max="9729" width="18.6640625" style="1" customWidth="1"/>
    <col min="9730" max="9730" width="11" style="1" customWidth="1"/>
    <col min="9731" max="9731" width="9" style="1" customWidth="1"/>
    <col min="9732" max="9732" width="8.5" style="1" customWidth="1"/>
    <col min="9733" max="9733" width="10.6640625" style="1" customWidth="1"/>
    <col min="9734" max="9734" width="15.1640625" style="1" customWidth="1"/>
    <col min="9735" max="9735" width="6.1640625" style="1" customWidth="1"/>
    <col min="9736" max="9984" width="8.83203125" style="1"/>
    <col min="9985" max="9985" width="18.6640625" style="1" customWidth="1"/>
    <col min="9986" max="9986" width="11" style="1" customWidth="1"/>
    <col min="9987" max="9987" width="9" style="1" customWidth="1"/>
    <col min="9988" max="9988" width="8.5" style="1" customWidth="1"/>
    <col min="9989" max="9989" width="10.6640625" style="1" customWidth="1"/>
    <col min="9990" max="9990" width="15.1640625" style="1" customWidth="1"/>
    <col min="9991" max="9991" width="6.1640625" style="1" customWidth="1"/>
    <col min="9992" max="10240" width="8.83203125" style="1"/>
    <col min="10241" max="10241" width="18.6640625" style="1" customWidth="1"/>
    <col min="10242" max="10242" width="11" style="1" customWidth="1"/>
    <col min="10243" max="10243" width="9" style="1" customWidth="1"/>
    <col min="10244" max="10244" width="8.5" style="1" customWidth="1"/>
    <col min="10245" max="10245" width="10.6640625" style="1" customWidth="1"/>
    <col min="10246" max="10246" width="15.1640625" style="1" customWidth="1"/>
    <col min="10247" max="10247" width="6.1640625" style="1" customWidth="1"/>
    <col min="10248" max="10496" width="8.83203125" style="1"/>
    <col min="10497" max="10497" width="18.6640625" style="1" customWidth="1"/>
    <col min="10498" max="10498" width="11" style="1" customWidth="1"/>
    <col min="10499" max="10499" width="9" style="1" customWidth="1"/>
    <col min="10500" max="10500" width="8.5" style="1" customWidth="1"/>
    <col min="10501" max="10501" width="10.6640625" style="1" customWidth="1"/>
    <col min="10502" max="10502" width="15.1640625" style="1" customWidth="1"/>
    <col min="10503" max="10503" width="6.1640625" style="1" customWidth="1"/>
    <col min="10504" max="10752" width="8.83203125" style="1"/>
    <col min="10753" max="10753" width="18.6640625" style="1" customWidth="1"/>
    <col min="10754" max="10754" width="11" style="1" customWidth="1"/>
    <col min="10755" max="10755" width="9" style="1" customWidth="1"/>
    <col min="10756" max="10756" width="8.5" style="1" customWidth="1"/>
    <col min="10757" max="10757" width="10.6640625" style="1" customWidth="1"/>
    <col min="10758" max="10758" width="15.1640625" style="1" customWidth="1"/>
    <col min="10759" max="10759" width="6.1640625" style="1" customWidth="1"/>
    <col min="10760" max="11008" width="8.83203125" style="1"/>
    <col min="11009" max="11009" width="18.6640625" style="1" customWidth="1"/>
    <col min="11010" max="11010" width="11" style="1" customWidth="1"/>
    <col min="11011" max="11011" width="9" style="1" customWidth="1"/>
    <col min="11012" max="11012" width="8.5" style="1" customWidth="1"/>
    <col min="11013" max="11013" width="10.6640625" style="1" customWidth="1"/>
    <col min="11014" max="11014" width="15.1640625" style="1" customWidth="1"/>
    <col min="11015" max="11015" width="6.1640625" style="1" customWidth="1"/>
    <col min="11016" max="11264" width="8.83203125" style="1"/>
    <col min="11265" max="11265" width="18.6640625" style="1" customWidth="1"/>
    <col min="11266" max="11266" width="11" style="1" customWidth="1"/>
    <col min="11267" max="11267" width="9" style="1" customWidth="1"/>
    <col min="11268" max="11268" width="8.5" style="1" customWidth="1"/>
    <col min="11269" max="11269" width="10.6640625" style="1" customWidth="1"/>
    <col min="11270" max="11270" width="15.1640625" style="1" customWidth="1"/>
    <col min="11271" max="11271" width="6.1640625" style="1" customWidth="1"/>
    <col min="11272" max="11520" width="8.83203125" style="1"/>
    <col min="11521" max="11521" width="18.6640625" style="1" customWidth="1"/>
    <col min="11522" max="11522" width="11" style="1" customWidth="1"/>
    <col min="11523" max="11523" width="9" style="1" customWidth="1"/>
    <col min="11524" max="11524" width="8.5" style="1" customWidth="1"/>
    <col min="11525" max="11525" width="10.6640625" style="1" customWidth="1"/>
    <col min="11526" max="11526" width="15.1640625" style="1" customWidth="1"/>
    <col min="11527" max="11527" width="6.1640625" style="1" customWidth="1"/>
    <col min="11528" max="11776" width="8.83203125" style="1"/>
    <col min="11777" max="11777" width="18.6640625" style="1" customWidth="1"/>
    <col min="11778" max="11778" width="11" style="1" customWidth="1"/>
    <col min="11779" max="11779" width="9" style="1" customWidth="1"/>
    <col min="11780" max="11780" width="8.5" style="1" customWidth="1"/>
    <col min="11781" max="11781" width="10.6640625" style="1" customWidth="1"/>
    <col min="11782" max="11782" width="15.1640625" style="1" customWidth="1"/>
    <col min="11783" max="11783" width="6.1640625" style="1" customWidth="1"/>
    <col min="11784" max="12032" width="8.83203125" style="1"/>
    <col min="12033" max="12033" width="18.6640625" style="1" customWidth="1"/>
    <col min="12034" max="12034" width="11" style="1" customWidth="1"/>
    <col min="12035" max="12035" width="9" style="1" customWidth="1"/>
    <col min="12036" max="12036" width="8.5" style="1" customWidth="1"/>
    <col min="12037" max="12037" width="10.6640625" style="1" customWidth="1"/>
    <col min="12038" max="12038" width="15.1640625" style="1" customWidth="1"/>
    <col min="12039" max="12039" width="6.1640625" style="1" customWidth="1"/>
    <col min="12040" max="12288" width="8.83203125" style="1"/>
    <col min="12289" max="12289" width="18.6640625" style="1" customWidth="1"/>
    <col min="12290" max="12290" width="11" style="1" customWidth="1"/>
    <col min="12291" max="12291" width="9" style="1" customWidth="1"/>
    <col min="12292" max="12292" width="8.5" style="1" customWidth="1"/>
    <col min="12293" max="12293" width="10.6640625" style="1" customWidth="1"/>
    <col min="12294" max="12294" width="15.1640625" style="1" customWidth="1"/>
    <col min="12295" max="12295" width="6.1640625" style="1" customWidth="1"/>
    <col min="12296" max="12544" width="8.83203125" style="1"/>
    <col min="12545" max="12545" width="18.6640625" style="1" customWidth="1"/>
    <col min="12546" max="12546" width="11" style="1" customWidth="1"/>
    <col min="12547" max="12547" width="9" style="1" customWidth="1"/>
    <col min="12548" max="12548" width="8.5" style="1" customWidth="1"/>
    <col min="12549" max="12549" width="10.6640625" style="1" customWidth="1"/>
    <col min="12550" max="12550" width="15.1640625" style="1" customWidth="1"/>
    <col min="12551" max="12551" width="6.1640625" style="1" customWidth="1"/>
    <col min="12552" max="12800" width="8.83203125" style="1"/>
    <col min="12801" max="12801" width="18.6640625" style="1" customWidth="1"/>
    <col min="12802" max="12802" width="11" style="1" customWidth="1"/>
    <col min="12803" max="12803" width="9" style="1" customWidth="1"/>
    <col min="12804" max="12804" width="8.5" style="1" customWidth="1"/>
    <col min="12805" max="12805" width="10.6640625" style="1" customWidth="1"/>
    <col min="12806" max="12806" width="15.1640625" style="1" customWidth="1"/>
    <col min="12807" max="12807" width="6.1640625" style="1" customWidth="1"/>
    <col min="12808" max="13056" width="8.83203125" style="1"/>
    <col min="13057" max="13057" width="18.6640625" style="1" customWidth="1"/>
    <col min="13058" max="13058" width="11" style="1" customWidth="1"/>
    <col min="13059" max="13059" width="9" style="1" customWidth="1"/>
    <col min="13060" max="13060" width="8.5" style="1" customWidth="1"/>
    <col min="13061" max="13061" width="10.6640625" style="1" customWidth="1"/>
    <col min="13062" max="13062" width="15.1640625" style="1" customWidth="1"/>
    <col min="13063" max="13063" width="6.1640625" style="1" customWidth="1"/>
    <col min="13064" max="13312" width="8.83203125" style="1"/>
    <col min="13313" max="13313" width="18.6640625" style="1" customWidth="1"/>
    <col min="13314" max="13314" width="11" style="1" customWidth="1"/>
    <col min="13315" max="13315" width="9" style="1" customWidth="1"/>
    <col min="13316" max="13316" width="8.5" style="1" customWidth="1"/>
    <col min="13317" max="13317" width="10.6640625" style="1" customWidth="1"/>
    <col min="13318" max="13318" width="15.1640625" style="1" customWidth="1"/>
    <col min="13319" max="13319" width="6.1640625" style="1" customWidth="1"/>
    <col min="13320" max="13568" width="8.83203125" style="1"/>
    <col min="13569" max="13569" width="18.6640625" style="1" customWidth="1"/>
    <col min="13570" max="13570" width="11" style="1" customWidth="1"/>
    <col min="13571" max="13571" width="9" style="1" customWidth="1"/>
    <col min="13572" max="13572" width="8.5" style="1" customWidth="1"/>
    <col min="13573" max="13573" width="10.6640625" style="1" customWidth="1"/>
    <col min="13574" max="13574" width="15.1640625" style="1" customWidth="1"/>
    <col min="13575" max="13575" width="6.1640625" style="1" customWidth="1"/>
    <col min="13576" max="13824" width="8.83203125" style="1"/>
    <col min="13825" max="13825" width="18.6640625" style="1" customWidth="1"/>
    <col min="13826" max="13826" width="11" style="1" customWidth="1"/>
    <col min="13827" max="13827" width="9" style="1" customWidth="1"/>
    <col min="13828" max="13828" width="8.5" style="1" customWidth="1"/>
    <col min="13829" max="13829" width="10.6640625" style="1" customWidth="1"/>
    <col min="13830" max="13830" width="15.1640625" style="1" customWidth="1"/>
    <col min="13831" max="13831" width="6.1640625" style="1" customWidth="1"/>
    <col min="13832" max="14080" width="8.83203125" style="1"/>
    <col min="14081" max="14081" width="18.6640625" style="1" customWidth="1"/>
    <col min="14082" max="14082" width="11" style="1" customWidth="1"/>
    <col min="14083" max="14083" width="9" style="1" customWidth="1"/>
    <col min="14084" max="14084" width="8.5" style="1" customWidth="1"/>
    <col min="14085" max="14085" width="10.6640625" style="1" customWidth="1"/>
    <col min="14086" max="14086" width="15.1640625" style="1" customWidth="1"/>
    <col min="14087" max="14087" width="6.1640625" style="1" customWidth="1"/>
    <col min="14088" max="14336" width="8.83203125" style="1"/>
    <col min="14337" max="14337" width="18.6640625" style="1" customWidth="1"/>
    <col min="14338" max="14338" width="11" style="1" customWidth="1"/>
    <col min="14339" max="14339" width="9" style="1" customWidth="1"/>
    <col min="14340" max="14340" width="8.5" style="1" customWidth="1"/>
    <col min="14341" max="14341" width="10.6640625" style="1" customWidth="1"/>
    <col min="14342" max="14342" width="15.1640625" style="1" customWidth="1"/>
    <col min="14343" max="14343" width="6.1640625" style="1" customWidth="1"/>
    <col min="14344" max="14592" width="8.83203125" style="1"/>
    <col min="14593" max="14593" width="18.6640625" style="1" customWidth="1"/>
    <col min="14594" max="14594" width="11" style="1" customWidth="1"/>
    <col min="14595" max="14595" width="9" style="1" customWidth="1"/>
    <col min="14596" max="14596" width="8.5" style="1" customWidth="1"/>
    <col min="14597" max="14597" width="10.6640625" style="1" customWidth="1"/>
    <col min="14598" max="14598" width="15.1640625" style="1" customWidth="1"/>
    <col min="14599" max="14599" width="6.1640625" style="1" customWidth="1"/>
    <col min="14600" max="14848" width="8.83203125" style="1"/>
    <col min="14849" max="14849" width="18.6640625" style="1" customWidth="1"/>
    <col min="14850" max="14850" width="11" style="1" customWidth="1"/>
    <col min="14851" max="14851" width="9" style="1" customWidth="1"/>
    <col min="14852" max="14852" width="8.5" style="1" customWidth="1"/>
    <col min="14853" max="14853" width="10.6640625" style="1" customWidth="1"/>
    <col min="14854" max="14854" width="15.1640625" style="1" customWidth="1"/>
    <col min="14855" max="14855" width="6.1640625" style="1" customWidth="1"/>
    <col min="14856" max="15104" width="8.83203125" style="1"/>
    <col min="15105" max="15105" width="18.6640625" style="1" customWidth="1"/>
    <col min="15106" max="15106" width="11" style="1" customWidth="1"/>
    <col min="15107" max="15107" width="9" style="1" customWidth="1"/>
    <col min="15108" max="15108" width="8.5" style="1" customWidth="1"/>
    <col min="15109" max="15109" width="10.6640625" style="1" customWidth="1"/>
    <col min="15110" max="15110" width="15.1640625" style="1" customWidth="1"/>
    <col min="15111" max="15111" width="6.1640625" style="1" customWidth="1"/>
    <col min="15112" max="15360" width="8.83203125" style="1"/>
    <col min="15361" max="15361" width="18.6640625" style="1" customWidth="1"/>
    <col min="15362" max="15362" width="11" style="1" customWidth="1"/>
    <col min="15363" max="15363" width="9" style="1" customWidth="1"/>
    <col min="15364" max="15364" width="8.5" style="1" customWidth="1"/>
    <col min="15365" max="15365" width="10.6640625" style="1" customWidth="1"/>
    <col min="15366" max="15366" width="15.1640625" style="1" customWidth="1"/>
    <col min="15367" max="15367" width="6.1640625" style="1" customWidth="1"/>
    <col min="15368" max="15616" width="8.83203125" style="1"/>
    <col min="15617" max="15617" width="18.6640625" style="1" customWidth="1"/>
    <col min="15618" max="15618" width="11" style="1" customWidth="1"/>
    <col min="15619" max="15619" width="9" style="1" customWidth="1"/>
    <col min="15620" max="15620" width="8.5" style="1" customWidth="1"/>
    <col min="15621" max="15621" width="10.6640625" style="1" customWidth="1"/>
    <col min="15622" max="15622" width="15.1640625" style="1" customWidth="1"/>
    <col min="15623" max="15623" width="6.1640625" style="1" customWidth="1"/>
    <col min="15624" max="15872" width="8.83203125" style="1"/>
    <col min="15873" max="15873" width="18.6640625" style="1" customWidth="1"/>
    <col min="15874" max="15874" width="11" style="1" customWidth="1"/>
    <col min="15875" max="15875" width="9" style="1" customWidth="1"/>
    <col min="15876" max="15876" width="8.5" style="1" customWidth="1"/>
    <col min="15877" max="15877" width="10.6640625" style="1" customWidth="1"/>
    <col min="15878" max="15878" width="15.1640625" style="1" customWidth="1"/>
    <col min="15879" max="15879" width="6.1640625" style="1" customWidth="1"/>
    <col min="15880" max="16128" width="8.83203125" style="1"/>
    <col min="16129" max="16129" width="18.6640625" style="1" customWidth="1"/>
    <col min="16130" max="16130" width="11" style="1" customWidth="1"/>
    <col min="16131" max="16131" width="9" style="1" customWidth="1"/>
    <col min="16132" max="16132" width="8.5" style="1" customWidth="1"/>
    <col min="16133" max="16133" width="10.6640625" style="1" customWidth="1"/>
    <col min="16134" max="16134" width="15.1640625" style="1" customWidth="1"/>
    <col min="16135" max="16135" width="6.1640625" style="1" customWidth="1"/>
    <col min="16136" max="16384" width="8.83203125" style="1"/>
  </cols>
  <sheetData>
    <row r="1" spans="1:7" ht="49.5" customHeight="1">
      <c r="A1" s="113" t="s">
        <v>28</v>
      </c>
      <c r="B1" s="114"/>
      <c r="C1" s="114"/>
      <c r="D1" s="114"/>
      <c r="E1" s="114"/>
      <c r="F1" s="114"/>
      <c r="G1" s="115"/>
    </row>
    <row r="2" spans="1:7" ht="39" customHeight="1">
      <c r="A2" s="36" t="s">
        <v>29</v>
      </c>
      <c r="B2" s="37" t="s">
        <v>30</v>
      </c>
      <c r="C2" s="37" t="s">
        <v>31</v>
      </c>
      <c r="D2" s="37" t="s">
        <v>14</v>
      </c>
      <c r="E2" s="37" t="s">
        <v>32</v>
      </c>
      <c r="F2" s="37" t="s">
        <v>17</v>
      </c>
      <c r="G2" s="38" t="s">
        <v>18</v>
      </c>
    </row>
    <row r="3" spans="1:7" ht="25" customHeight="1">
      <c r="A3" s="31" t="s">
        <v>33</v>
      </c>
      <c r="B3" s="37"/>
      <c r="C3" s="37"/>
      <c r="D3" s="37"/>
      <c r="E3" s="37"/>
      <c r="F3" s="39"/>
      <c r="G3" s="38"/>
    </row>
    <row r="4" spans="1:7" ht="25" customHeight="1">
      <c r="A4" s="40" t="s">
        <v>34</v>
      </c>
      <c r="B4" s="46">
        <v>0</v>
      </c>
      <c r="C4" s="41">
        <v>0</v>
      </c>
      <c r="D4" s="41" t="s">
        <v>35</v>
      </c>
      <c r="E4" s="42">
        <v>358273</v>
      </c>
      <c r="F4" s="43">
        <f>B4*C4*E4</f>
        <v>0</v>
      </c>
      <c r="G4" s="44"/>
    </row>
    <row r="5" spans="1:7" ht="25" customHeight="1">
      <c r="A5" s="45" t="s">
        <v>36</v>
      </c>
      <c r="B5" s="46">
        <v>0</v>
      </c>
      <c r="C5" s="41">
        <v>0</v>
      </c>
      <c r="D5" s="41" t="s">
        <v>35</v>
      </c>
      <c r="E5" s="42">
        <v>300980</v>
      </c>
      <c r="F5" s="43">
        <f>B5*C5*E5</f>
        <v>0</v>
      </c>
      <c r="G5" s="47"/>
    </row>
    <row r="6" spans="1:7" ht="25" customHeight="1">
      <c r="A6" s="45" t="s">
        <v>37</v>
      </c>
      <c r="B6" s="46">
        <v>0</v>
      </c>
      <c r="C6" s="41">
        <v>0</v>
      </c>
      <c r="D6" s="41" t="s">
        <v>35</v>
      </c>
      <c r="E6" s="42">
        <v>284046</v>
      </c>
      <c r="F6" s="43">
        <f>B6*C6*E6</f>
        <v>0</v>
      </c>
      <c r="G6" s="47"/>
    </row>
    <row r="7" spans="1:7" ht="25" customHeight="1">
      <c r="A7" s="45" t="s">
        <v>38</v>
      </c>
      <c r="B7" s="46">
        <v>0</v>
      </c>
      <c r="C7" s="41">
        <v>0</v>
      </c>
      <c r="D7" s="41" t="s">
        <v>35</v>
      </c>
      <c r="E7" s="42">
        <v>223644</v>
      </c>
      <c r="F7" s="43">
        <f>B7*C7*E7</f>
        <v>0</v>
      </c>
      <c r="G7" s="47"/>
    </row>
    <row r="8" spans="1:7" ht="25" customHeight="1">
      <c r="A8" s="48" t="s">
        <v>39</v>
      </c>
      <c r="B8" s="49"/>
      <c r="C8" s="37"/>
      <c r="D8" s="37"/>
      <c r="E8" s="50"/>
      <c r="F8" s="51">
        <f>F4+F5+F6+F7</f>
        <v>0</v>
      </c>
      <c r="G8" s="52"/>
    </row>
    <row r="9" spans="1:7" ht="25" customHeight="1">
      <c r="A9" s="45" t="s">
        <v>40</v>
      </c>
      <c r="B9" s="116" t="s">
        <v>41</v>
      </c>
      <c r="C9" s="117"/>
      <c r="D9" s="117"/>
      <c r="E9" s="118"/>
      <c r="F9" s="43">
        <f>F8*250%</f>
        <v>0</v>
      </c>
      <c r="G9" s="47"/>
    </row>
    <row r="10" spans="1:7" ht="25" customHeight="1">
      <c r="A10" s="45" t="s">
        <v>42</v>
      </c>
      <c r="B10" s="53"/>
      <c r="C10" s="54"/>
      <c r="D10" s="54"/>
      <c r="E10" s="55"/>
      <c r="F10" s="43">
        <v>100000</v>
      </c>
      <c r="G10" s="47"/>
    </row>
    <row r="11" spans="1:7" ht="25" customHeight="1">
      <c r="A11" s="48" t="s">
        <v>43</v>
      </c>
      <c r="B11" s="56"/>
      <c r="C11" s="57"/>
      <c r="D11" s="49"/>
      <c r="E11" s="50"/>
      <c r="F11" s="58">
        <f>F10+F9+F8</f>
        <v>100000</v>
      </c>
      <c r="G11" s="52"/>
    </row>
    <row r="12" spans="1:7" ht="25" customHeight="1">
      <c r="A12" s="45" t="s">
        <v>44</v>
      </c>
      <c r="B12" s="59"/>
      <c r="C12" s="60"/>
      <c r="D12" s="53"/>
      <c r="E12" s="55"/>
      <c r="F12" s="42">
        <v>32754</v>
      </c>
      <c r="G12" s="47"/>
    </row>
    <row r="13" spans="1:7" ht="25" customHeight="1">
      <c r="A13" s="61" t="s">
        <v>45</v>
      </c>
      <c r="B13" s="62"/>
      <c r="C13" s="63"/>
      <c r="D13" s="62"/>
      <c r="E13" s="64"/>
      <c r="F13" s="65">
        <f>F11-F12</f>
        <v>67246</v>
      </c>
      <c r="G13" s="66"/>
    </row>
    <row r="14" spans="1:7" ht="25" customHeight="1">
      <c r="A14" s="48" t="s">
        <v>46</v>
      </c>
      <c r="B14" s="119">
        <v>0.1</v>
      </c>
      <c r="C14" s="120"/>
      <c r="D14" s="120"/>
      <c r="E14" s="121"/>
      <c r="F14" s="58" t="s">
        <v>46</v>
      </c>
      <c r="G14" s="47"/>
    </row>
    <row r="15" spans="1:7" ht="25" customHeight="1">
      <c r="A15" s="67"/>
      <c r="B15" s="59"/>
      <c r="C15" s="60"/>
      <c r="D15" s="53"/>
      <c r="E15" s="55"/>
      <c r="F15" s="42"/>
      <c r="G15" s="47"/>
    </row>
    <row r="16" spans="1:7" ht="25" customHeight="1">
      <c r="A16" s="67"/>
      <c r="B16" s="59"/>
      <c r="C16" s="60"/>
      <c r="D16" s="53"/>
      <c r="E16" s="55"/>
      <c r="F16" s="42"/>
      <c r="G16" s="47"/>
    </row>
    <row r="17" spans="1:7" ht="25" customHeight="1">
      <c r="A17" s="68"/>
      <c r="B17" s="69"/>
      <c r="C17" s="54"/>
      <c r="D17" s="69"/>
      <c r="E17" s="70"/>
      <c r="F17" s="71"/>
      <c r="G17" s="47"/>
    </row>
    <row r="18" spans="1:7" ht="25" customHeight="1">
      <c r="A18" s="68"/>
      <c r="B18" s="69"/>
      <c r="C18" s="54"/>
      <c r="D18" s="69"/>
      <c r="E18" s="70"/>
      <c r="F18" s="71"/>
      <c r="G18" s="47"/>
    </row>
    <row r="19" spans="1:7" ht="25" customHeight="1">
      <c r="A19" s="68"/>
      <c r="B19" s="69"/>
      <c r="C19" s="54"/>
      <c r="D19" s="69"/>
      <c r="E19" s="70"/>
      <c r="F19" s="71"/>
      <c r="G19" s="47"/>
    </row>
    <row r="20" spans="1:7" ht="25" customHeight="1">
      <c r="A20" s="68"/>
      <c r="B20" s="69"/>
      <c r="C20" s="54"/>
      <c r="D20" s="69"/>
      <c r="E20" s="69"/>
      <c r="F20" s="71"/>
      <c r="G20" s="47"/>
    </row>
    <row r="21" spans="1:7" ht="25" customHeight="1">
      <c r="A21" s="68"/>
      <c r="B21" s="69"/>
      <c r="C21" s="69"/>
      <c r="D21" s="69"/>
      <c r="E21" s="69"/>
      <c r="F21" s="41"/>
      <c r="G21" s="47"/>
    </row>
    <row r="22" spans="1:7" ht="25" customHeight="1">
      <c r="A22" s="68"/>
      <c r="B22" s="69"/>
      <c r="C22" s="69"/>
      <c r="D22" s="69"/>
      <c r="E22" s="69"/>
      <c r="F22" s="41"/>
      <c r="G22" s="47"/>
    </row>
    <row r="23" spans="1:7" ht="25" customHeight="1">
      <c r="A23" s="68" t="s">
        <v>47</v>
      </c>
      <c r="B23" s="69"/>
      <c r="C23" s="69"/>
      <c r="D23" s="69"/>
      <c r="E23" s="69"/>
      <c r="F23" s="41"/>
      <c r="G23" s="47"/>
    </row>
    <row r="24" spans="1:7" ht="25" customHeight="1">
      <c r="A24" s="68"/>
      <c r="B24" s="69"/>
      <c r="C24" s="69"/>
      <c r="D24" s="69"/>
      <c r="E24" s="69"/>
      <c r="F24" s="41"/>
      <c r="G24" s="47"/>
    </row>
    <row r="25" spans="1:7" ht="25" customHeight="1">
      <c r="A25" s="68"/>
      <c r="B25" s="69"/>
      <c r="C25" s="69"/>
      <c r="D25" s="69"/>
      <c r="E25" s="69"/>
      <c r="F25" s="41"/>
      <c r="G25" s="47"/>
    </row>
    <row r="26" spans="1:7" ht="25" customHeight="1" thickBot="1">
      <c r="A26" s="72" t="s">
        <v>48</v>
      </c>
      <c r="B26" s="73"/>
      <c r="C26" s="73"/>
      <c r="D26" s="73"/>
      <c r="E26" s="73"/>
      <c r="F26" s="74">
        <f>F13</f>
        <v>67246</v>
      </c>
      <c r="G26" s="75"/>
    </row>
    <row r="27" spans="1:7" ht="20.25" customHeight="1"/>
    <row r="28" spans="1:7" ht="20.25" customHeight="1"/>
    <row r="29" spans="1:7" ht="20.25" customHeight="1"/>
    <row r="30" spans="1:7" ht="20.25" customHeight="1"/>
    <row r="31" spans="1:7" ht="20.25" customHeight="1"/>
    <row r="32" spans="1:7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</sheetData>
  <mergeCells count="3">
    <mergeCell ref="A1:G1"/>
    <mergeCell ref="B9:E9"/>
    <mergeCell ref="B14:E14"/>
  </mergeCells>
  <pageMargins left="0.56000000000000005" right="0.54" top="1" bottom="0.7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표지</vt:lpstr>
      <vt:lpstr>내역서</vt:lpstr>
      <vt:lpstr>내역서!Print_Area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dcterms:created xsi:type="dcterms:W3CDTF">2016-09-13T16:55:18Z</dcterms:created>
  <dcterms:modified xsi:type="dcterms:W3CDTF">2025-09-05T02:54:14Z</dcterms:modified>
</cp:coreProperties>
</file>